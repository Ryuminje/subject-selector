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ne049-my.sharepoint.com/personal/fbalswp_myungshin-h_gne_go_kr/Documents/2026. 교육과정부/2026학년도 학교교육과정 편성표/편성표(자제 제작 앱 업로드용)/"/>
    </mc:Choice>
  </mc:AlternateContent>
  <xr:revisionPtr revIDLastSave="1" documentId="8_{D1EF8A01-91BA-41B1-8595-7C72AE360C65}" xr6:coauthVersionLast="47" xr6:coauthVersionMax="47" xr10:uidLastSave="{7F9C13C6-02AA-4EEF-A29F-B894E4640C72}"/>
  <bookViews>
    <workbookView xWindow="-120" yWindow="-120" windowWidth="29040" windowHeight="15720" xr2:uid="{BAD9507E-EF57-4C72-95F5-C9537E8240B1}"/>
  </bookViews>
  <sheets>
    <sheet name="2024 입학생 3개년 교육과정(3학년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4" i="1" l="1"/>
  <c r="M92" i="1"/>
  <c r="M93" i="1" s="1"/>
  <c r="M95" i="1" s="1"/>
  <c r="L92" i="1"/>
  <c r="L93" i="1" s="1"/>
  <c r="L95" i="1" s="1"/>
  <c r="K92" i="1"/>
  <c r="K93" i="1" s="1"/>
  <c r="K95" i="1" s="1"/>
  <c r="J92" i="1"/>
  <c r="I92" i="1"/>
  <c r="H92" i="1"/>
  <c r="H93" i="1" s="1"/>
  <c r="N80" i="1"/>
  <c r="O80" i="1" s="1"/>
  <c r="N46" i="1"/>
  <c r="O46" i="1" s="1"/>
  <c r="O30" i="1"/>
  <c r="N30" i="1"/>
  <c r="N28" i="1"/>
  <c r="O28" i="1" s="1"/>
  <c r="M27" i="1"/>
  <c r="L27" i="1"/>
  <c r="K27" i="1"/>
  <c r="J27" i="1"/>
  <c r="I27" i="1"/>
  <c r="I93" i="1" s="1"/>
  <c r="I95" i="1" s="1"/>
  <c r="H27" i="1"/>
  <c r="N26" i="1"/>
  <c r="N24" i="1"/>
  <c r="O24" i="1" s="1"/>
  <c r="O21" i="1"/>
  <c r="N21" i="1"/>
  <c r="O18" i="1"/>
  <c r="N18" i="1"/>
  <c r="N16" i="1"/>
  <c r="N15" i="1"/>
  <c r="O15" i="1" s="1"/>
  <c r="N14" i="1"/>
  <c r="N11" i="1"/>
  <c r="N8" i="1"/>
  <c r="N5" i="1"/>
  <c r="O5" i="1" s="1"/>
  <c r="O27" i="1" s="1"/>
  <c r="J93" i="1" l="1"/>
  <c r="J95" i="1" s="1"/>
  <c r="H95" i="1"/>
  <c r="O92" i="1"/>
  <c r="O93" i="1" l="1"/>
  <c r="N95" i="1"/>
</calcChain>
</file>

<file path=xl/sharedStrings.xml><?xml version="1.0" encoding="utf-8"?>
<sst xmlns="http://schemas.openxmlformats.org/spreadsheetml/2006/main" count="308" uniqueCount="140">
  <si>
    <t xml:space="preserve">2024학년도 입학생 3개년 교육과정 편성표(3학년) </t>
    <phoneticPr fontId="5" type="noConversion"/>
  </si>
  <si>
    <t>명신고등학교(공립)</t>
    <phoneticPr fontId="5" type="noConversion"/>
  </si>
  <si>
    <t>구
분</t>
    <phoneticPr fontId="5" type="noConversion"/>
  </si>
  <si>
    <t>교과
영역</t>
    <phoneticPr fontId="5" type="noConversion"/>
  </si>
  <si>
    <t>교과(군)</t>
    <phoneticPr fontId="5" type="noConversion"/>
  </si>
  <si>
    <t>과목
유형</t>
    <phoneticPr fontId="5" type="noConversion"/>
  </si>
  <si>
    <t>과목</t>
    <phoneticPr fontId="5" type="noConversion"/>
  </si>
  <si>
    <t>기본
학점</t>
    <phoneticPr fontId="5" type="noConversion"/>
  </si>
  <si>
    <t>운영
학점</t>
    <phoneticPr fontId="5" type="noConversion"/>
  </si>
  <si>
    <t>1학년</t>
    <phoneticPr fontId="5" type="noConversion"/>
  </si>
  <si>
    <t>2학년</t>
    <phoneticPr fontId="5" type="noConversion"/>
  </si>
  <si>
    <t>3학년</t>
    <phoneticPr fontId="5" type="noConversion"/>
  </si>
  <si>
    <t>편성학점 합</t>
    <phoneticPr fontId="5" type="noConversion"/>
  </si>
  <si>
    <t>성적처리 유형</t>
    <phoneticPr fontId="5" type="noConversion"/>
  </si>
  <si>
    <t>1학기</t>
    <phoneticPr fontId="5" type="noConversion"/>
  </si>
  <si>
    <t>2학기</t>
    <phoneticPr fontId="5" type="noConversion"/>
  </si>
  <si>
    <t>교과군</t>
    <phoneticPr fontId="5" type="noConversion"/>
  </si>
  <si>
    <t>교과영역</t>
    <phoneticPr fontId="5" type="noConversion"/>
  </si>
  <si>
    <t>학
교
지
정
과
목</t>
    <phoneticPr fontId="5" type="noConversion"/>
  </si>
  <si>
    <t>기초</t>
    <phoneticPr fontId="5" type="noConversion"/>
  </si>
  <si>
    <t>국어</t>
    <phoneticPr fontId="5" type="noConversion"/>
  </si>
  <si>
    <t>공통</t>
  </si>
  <si>
    <t>국어</t>
  </si>
  <si>
    <t>성취도 5단계+석차등급O</t>
  </si>
  <si>
    <t>일반</t>
  </si>
  <si>
    <t>문학</t>
  </si>
  <si>
    <t>독서</t>
  </si>
  <si>
    <t>수학</t>
    <phoneticPr fontId="5" type="noConversion"/>
  </si>
  <si>
    <t>수학</t>
  </si>
  <si>
    <t>수학Ⅰ</t>
  </si>
  <si>
    <t>수학Ⅱ</t>
  </si>
  <si>
    <t>영어</t>
    <phoneticPr fontId="5" type="noConversion"/>
  </si>
  <si>
    <t>영어</t>
  </si>
  <si>
    <t>영어Ⅰ</t>
  </si>
  <si>
    <t>영어Ⅱ</t>
  </si>
  <si>
    <t>한국사</t>
    <phoneticPr fontId="5" type="noConversion"/>
  </si>
  <si>
    <t>한국사</t>
  </si>
  <si>
    <t xml:space="preserve"> </t>
    <phoneticPr fontId="5" type="noConversion"/>
  </si>
  <si>
    <t>탐구</t>
    <phoneticPr fontId="5" type="noConversion"/>
  </si>
  <si>
    <t>사회</t>
    <phoneticPr fontId="5" type="noConversion"/>
  </si>
  <si>
    <t>통합사회</t>
  </si>
  <si>
    <t>과학</t>
    <phoneticPr fontId="5" type="noConversion"/>
  </si>
  <si>
    <t>통합과학</t>
  </si>
  <si>
    <t>과학탐구실험</t>
  </si>
  <si>
    <t>성취도 3단계</t>
  </si>
  <si>
    <t>체육
·
예술</t>
    <phoneticPr fontId="5" type="noConversion"/>
  </si>
  <si>
    <t>체육</t>
    <phoneticPr fontId="5" type="noConversion"/>
  </si>
  <si>
    <t>체육</t>
  </si>
  <si>
    <t>운동과 건강</t>
  </si>
  <si>
    <t>진로</t>
  </si>
  <si>
    <t>스포츠 생활</t>
  </si>
  <si>
    <t>성취도 3단계+성취도별 분포비율</t>
  </si>
  <si>
    <t>예술</t>
    <phoneticPr fontId="5" type="noConversion"/>
  </si>
  <si>
    <t>음악↔미술</t>
    <phoneticPr fontId="5" type="noConversion"/>
  </si>
  <si>
    <t>3↔3</t>
    <phoneticPr fontId="5" type="noConversion"/>
  </si>
  <si>
    <t>미술 창작</t>
  </si>
  <si>
    <t>미술 감상과 비평</t>
  </si>
  <si>
    <t>생활·
교양</t>
    <phoneticPr fontId="5" type="noConversion"/>
  </si>
  <si>
    <t>기술·가정/한문</t>
    <phoneticPr fontId="5" type="noConversion"/>
  </si>
  <si>
    <t>한문Ⅰ↔정보</t>
    <phoneticPr fontId="5" type="noConversion"/>
  </si>
  <si>
    <t>성취도 5단계+석차등급O</t>
    <phoneticPr fontId="5" type="noConversion"/>
  </si>
  <si>
    <t>교양</t>
    <phoneticPr fontId="5" type="noConversion"/>
  </si>
  <si>
    <t>논술</t>
    <phoneticPr fontId="5" type="noConversion"/>
  </si>
  <si>
    <t>이수/미이수</t>
  </si>
  <si>
    <t>진로와 직업</t>
  </si>
  <si>
    <t>학교 지정 과목 교과 이수 학점 소계</t>
    <phoneticPr fontId="5" type="noConversion"/>
  </si>
  <si>
    <t>선택군A
[택1]</t>
    <phoneticPr fontId="5" type="noConversion"/>
  </si>
  <si>
    <t>제2외국어</t>
    <phoneticPr fontId="5" type="noConversion"/>
  </si>
  <si>
    <t>일본어Ⅰ</t>
  </si>
  <si>
    <t>중국어Ⅰ</t>
  </si>
  <si>
    <t>선택군B
(1학기)[택3]
/
선택군C
(2학기)[택3]</t>
    <phoneticPr fontId="5" type="noConversion"/>
  </si>
  <si>
    <t>언어와 매체</t>
    <phoneticPr fontId="5" type="noConversion"/>
  </si>
  <si>
    <t>확률과 통계</t>
    <phoneticPr fontId="5" type="noConversion"/>
  </si>
  <si>
    <t>영어회화</t>
    <phoneticPr fontId="5" type="noConversion"/>
  </si>
  <si>
    <t>사회</t>
  </si>
  <si>
    <t>한국지리</t>
  </si>
  <si>
    <t>세계사</t>
  </si>
  <si>
    <t>경제</t>
  </si>
  <si>
    <t>사회·문화</t>
  </si>
  <si>
    <t>윤리와 사상</t>
  </si>
  <si>
    <t>여행지리</t>
  </si>
  <si>
    <t>사회문제 탐구</t>
  </si>
  <si>
    <t>물리학Ⅰ</t>
  </si>
  <si>
    <t>화학Ⅰ</t>
  </si>
  <si>
    <t>생명과학Ⅰ</t>
  </si>
  <si>
    <t>지구과학Ⅰ</t>
  </si>
  <si>
    <t>생활과 과학</t>
    <phoneticPr fontId="5" type="noConversion"/>
  </si>
  <si>
    <t>체육 전공 실기 기초</t>
    <phoneticPr fontId="5" type="noConversion"/>
  </si>
  <si>
    <t>선택군D
[학기별 택6]</t>
    <phoneticPr fontId="5" type="noConversion"/>
  </si>
  <si>
    <t>화법과 작문</t>
  </si>
  <si>
    <t>진로</t>
    <phoneticPr fontId="5" type="noConversion"/>
  </si>
  <si>
    <t>고전읽기</t>
    <phoneticPr fontId="5" type="noConversion"/>
  </si>
  <si>
    <t>심화 국어</t>
  </si>
  <si>
    <t>성취도 3단계+성취도별 분포비율</t>
    <phoneticPr fontId="5" type="noConversion"/>
  </si>
  <si>
    <t>고전문학 감상</t>
    <phoneticPr fontId="5" type="noConversion"/>
  </si>
  <si>
    <t>현대문학 감상</t>
    <phoneticPr fontId="5" type="noConversion"/>
  </si>
  <si>
    <t>미적분</t>
  </si>
  <si>
    <t>기하</t>
  </si>
  <si>
    <t>경제 수학</t>
  </si>
  <si>
    <t>수학과제 탐구</t>
    <phoneticPr fontId="5" type="noConversion"/>
  </si>
  <si>
    <t>인공지능 수학</t>
    <phoneticPr fontId="5" type="noConversion"/>
  </si>
  <si>
    <t>심화 수학Ⅰ</t>
  </si>
  <si>
    <t>영어 독해와 작문</t>
  </si>
  <si>
    <t>영어권 문화</t>
    <phoneticPr fontId="5" type="noConversion"/>
  </si>
  <si>
    <t>진로 영어</t>
    <phoneticPr fontId="5" type="noConversion"/>
  </si>
  <si>
    <t>영미 문학 읽기</t>
  </si>
  <si>
    <t>세계지리</t>
  </si>
  <si>
    <t>동아시아사</t>
  </si>
  <si>
    <t>정치와 법</t>
  </si>
  <si>
    <t>생활과 윤리</t>
  </si>
  <si>
    <t>고전과 윤리</t>
  </si>
  <si>
    <t>지역 이해</t>
    <phoneticPr fontId="5" type="noConversion"/>
  </si>
  <si>
    <t>국제 정치</t>
  </si>
  <si>
    <t>현대 세계의 변화</t>
  </si>
  <si>
    <t>과학</t>
  </si>
  <si>
    <t>물리학Ⅱ</t>
  </si>
  <si>
    <t>화학Ⅱ</t>
  </si>
  <si>
    <t>생명과학Ⅱ</t>
  </si>
  <si>
    <t>지구과학Ⅱ</t>
  </si>
  <si>
    <t>고급물리학</t>
    <phoneticPr fontId="5" type="noConversion"/>
  </si>
  <si>
    <t>고급화학</t>
    <phoneticPr fontId="5" type="noConversion"/>
  </si>
  <si>
    <t>고급생명과학</t>
    <phoneticPr fontId="5" type="noConversion"/>
  </si>
  <si>
    <t>고급지구과학</t>
    <phoneticPr fontId="5" type="noConversion"/>
  </si>
  <si>
    <t>생태와 환경</t>
    <phoneticPr fontId="5" type="noConversion"/>
  </si>
  <si>
    <t>융합과학</t>
    <phoneticPr fontId="5" type="noConversion"/>
  </si>
  <si>
    <t>기술·가정</t>
  </si>
  <si>
    <t>인공지능 기초</t>
  </si>
  <si>
    <t>교양</t>
  </si>
  <si>
    <t>철학</t>
  </si>
  <si>
    <t>심리학</t>
  </si>
  <si>
    <t>교육학</t>
  </si>
  <si>
    <t>논리학</t>
  </si>
  <si>
    <t>보건</t>
  </si>
  <si>
    <t>환경</t>
  </si>
  <si>
    <t>실용 경제</t>
  </si>
  <si>
    <r>
      <t xml:space="preserve">학교내 소수 선택과목
또는 
학교 간 공동교육과정
</t>
    </r>
    <r>
      <rPr>
        <sz val="8"/>
        <color rgb="FFFF0000"/>
        <rFont val="맑은 고딕"/>
        <family val="3"/>
        <charset val="129"/>
        <scheme val="minor"/>
      </rPr>
      <t>(증배운영 과목)</t>
    </r>
    <phoneticPr fontId="5" type="noConversion"/>
  </si>
  <si>
    <t>학생 선택 과목 교과이수학점소계</t>
    <phoneticPr fontId="5" type="noConversion"/>
  </si>
  <si>
    <t>총 교과이수학점 소계</t>
    <phoneticPr fontId="5" type="noConversion"/>
  </si>
  <si>
    <t>창의적체험활동</t>
    <phoneticPr fontId="5" type="noConversion"/>
  </si>
  <si>
    <t>이수학점 총계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</si>
</sst>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shrinkToFit="1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 vertical="center" shrinkToFit="1"/>
    </xf>
    <xf numFmtId="0" fontId="8" fillId="3" borderId="15" xfId="0" applyFont="1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4" borderId="4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37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 shrinkToFit="1"/>
    </xf>
    <xf numFmtId="0" fontId="9" fillId="3" borderId="41" xfId="0" applyFont="1" applyFill="1" applyBorder="1" applyAlignment="1">
      <alignment horizontal="center" vertical="center" wrapText="1" shrinkToFit="1"/>
    </xf>
    <xf numFmtId="0" fontId="9" fillId="3" borderId="42" xfId="0" applyFont="1" applyFill="1" applyBorder="1" applyAlignment="1">
      <alignment horizontal="center" vertical="center" wrapText="1" shrinkToFit="1"/>
    </xf>
    <xf numFmtId="0" fontId="9" fillId="3" borderId="43" xfId="0" applyFont="1" applyFill="1" applyBorder="1" applyAlignment="1">
      <alignment horizontal="center" vertical="center" wrapText="1" shrinkToFit="1"/>
    </xf>
    <xf numFmtId="0" fontId="9" fillId="3" borderId="44" xfId="0" applyFont="1" applyFill="1" applyBorder="1" applyAlignment="1">
      <alignment horizontal="center" vertical="center" wrapText="1" shrinkToFit="1"/>
    </xf>
    <xf numFmtId="0" fontId="9" fillId="3" borderId="45" xfId="0" applyFont="1" applyFill="1" applyBorder="1" applyAlignment="1">
      <alignment horizontal="center" vertical="center" wrapText="1" shrinkToFit="1"/>
    </xf>
    <xf numFmtId="0" fontId="0" fillId="4" borderId="4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 wrapText="1"/>
    </xf>
    <xf numFmtId="0" fontId="0" fillId="4" borderId="52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2064-F3FC-4A26-A249-3CBEB19983EF}">
  <dimension ref="A1:P95"/>
  <sheetViews>
    <sheetView tabSelected="1" zoomScaleNormal="100" workbookViewId="0">
      <selection activeCell="G21" sqref="G21"/>
    </sheetView>
  </sheetViews>
  <sheetFormatPr defaultRowHeight="16.5"/>
  <cols>
    <col min="1" max="4" width="9" style="1"/>
    <col min="5" max="5" width="18.75" style="1" bestFit="1" customWidth="1"/>
    <col min="6" max="15" width="9" style="1"/>
    <col min="16" max="16" width="30.75" style="1" bestFit="1" customWidth="1"/>
    <col min="17" max="16384" width="9" style="1"/>
  </cols>
  <sheetData>
    <row r="1" spans="1:16" ht="26.25">
      <c r="A1" s="109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6" ht="18" thickBot="1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>
      <c r="A3" s="112" t="s">
        <v>2</v>
      </c>
      <c r="B3" s="101" t="s">
        <v>3</v>
      </c>
      <c r="C3" s="102" t="s">
        <v>4</v>
      </c>
      <c r="D3" s="101" t="s">
        <v>5</v>
      </c>
      <c r="E3" s="102" t="s">
        <v>6</v>
      </c>
      <c r="F3" s="101" t="s">
        <v>7</v>
      </c>
      <c r="G3" s="101" t="s">
        <v>8</v>
      </c>
      <c r="H3" s="101" t="s">
        <v>9</v>
      </c>
      <c r="I3" s="101"/>
      <c r="J3" s="101" t="s">
        <v>10</v>
      </c>
      <c r="K3" s="101"/>
      <c r="L3" s="101" t="s">
        <v>11</v>
      </c>
      <c r="M3" s="101"/>
      <c r="N3" s="102" t="s">
        <v>12</v>
      </c>
      <c r="O3" s="102"/>
      <c r="P3" s="103" t="s">
        <v>13</v>
      </c>
    </row>
    <row r="4" spans="1:16" ht="17.25" thickBot="1">
      <c r="A4" s="113"/>
      <c r="B4" s="114"/>
      <c r="C4" s="114"/>
      <c r="D4" s="115"/>
      <c r="E4" s="114"/>
      <c r="F4" s="115"/>
      <c r="G4" s="115"/>
      <c r="H4" s="2" t="s">
        <v>14</v>
      </c>
      <c r="I4" s="2" t="s">
        <v>15</v>
      </c>
      <c r="J4" s="2" t="s">
        <v>14</v>
      </c>
      <c r="K4" s="2" t="s">
        <v>15</v>
      </c>
      <c r="L4" s="2" t="s">
        <v>14</v>
      </c>
      <c r="M4" s="2" t="s">
        <v>15</v>
      </c>
      <c r="N4" s="2" t="s">
        <v>16</v>
      </c>
      <c r="O4" s="2" t="s">
        <v>17</v>
      </c>
      <c r="P4" s="104"/>
    </row>
    <row r="5" spans="1:16">
      <c r="A5" s="105" t="s">
        <v>18</v>
      </c>
      <c r="B5" s="79" t="s">
        <v>19</v>
      </c>
      <c r="C5" s="79" t="s">
        <v>20</v>
      </c>
      <c r="D5" s="3" t="s">
        <v>21</v>
      </c>
      <c r="E5" s="3" t="s">
        <v>22</v>
      </c>
      <c r="F5" s="3">
        <v>8</v>
      </c>
      <c r="G5" s="3">
        <v>6</v>
      </c>
      <c r="H5" s="3">
        <v>3</v>
      </c>
      <c r="I5" s="3">
        <v>3</v>
      </c>
      <c r="J5" s="3"/>
      <c r="K5" s="3"/>
      <c r="L5" s="3"/>
      <c r="M5" s="3"/>
      <c r="N5" s="108">
        <f>SUM(H5:M7)</f>
        <v>14</v>
      </c>
      <c r="O5" s="108">
        <f>SUM(N5:N14)</f>
        <v>50</v>
      </c>
      <c r="P5" s="4" t="s">
        <v>23</v>
      </c>
    </row>
    <row r="6" spans="1:16">
      <c r="A6" s="105"/>
      <c r="B6" s="79"/>
      <c r="C6" s="79"/>
      <c r="D6" s="3" t="s">
        <v>24</v>
      </c>
      <c r="E6" s="3" t="s">
        <v>25</v>
      </c>
      <c r="F6" s="3">
        <v>5</v>
      </c>
      <c r="G6" s="3">
        <v>4</v>
      </c>
      <c r="H6" s="3"/>
      <c r="I6" s="3"/>
      <c r="J6" s="3">
        <v>4</v>
      </c>
      <c r="K6" s="3"/>
      <c r="L6" s="3"/>
      <c r="M6" s="3"/>
      <c r="N6" s="78"/>
      <c r="O6" s="78"/>
      <c r="P6" s="4" t="s">
        <v>23</v>
      </c>
    </row>
    <row r="7" spans="1:16">
      <c r="A7" s="106"/>
      <c r="B7" s="100"/>
      <c r="C7" s="100"/>
      <c r="D7" s="5" t="s">
        <v>24</v>
      </c>
      <c r="E7" s="5" t="s">
        <v>26</v>
      </c>
      <c r="F7" s="5">
        <v>5</v>
      </c>
      <c r="G7" s="5">
        <v>4</v>
      </c>
      <c r="H7" s="5"/>
      <c r="I7" s="5"/>
      <c r="J7" s="5"/>
      <c r="K7" s="5">
        <v>4</v>
      </c>
      <c r="L7" s="5"/>
      <c r="M7" s="5"/>
      <c r="N7" s="79"/>
      <c r="O7" s="78"/>
      <c r="P7" s="4" t="s">
        <v>23</v>
      </c>
    </row>
    <row r="8" spans="1:16">
      <c r="A8" s="106"/>
      <c r="B8" s="100"/>
      <c r="C8" s="100" t="s">
        <v>27</v>
      </c>
      <c r="D8" s="5" t="s">
        <v>21</v>
      </c>
      <c r="E8" s="5" t="s">
        <v>28</v>
      </c>
      <c r="F8" s="5">
        <v>8</v>
      </c>
      <c r="G8" s="5">
        <v>7</v>
      </c>
      <c r="H8" s="5">
        <v>4</v>
      </c>
      <c r="I8" s="5">
        <v>3</v>
      </c>
      <c r="J8" s="5"/>
      <c r="K8" s="5"/>
      <c r="L8" s="5"/>
      <c r="M8" s="5"/>
      <c r="N8" s="77">
        <f>SUM(H8:M10)</f>
        <v>15</v>
      </c>
      <c r="O8" s="78"/>
      <c r="P8" s="4" t="s">
        <v>23</v>
      </c>
    </row>
    <row r="9" spans="1:16">
      <c r="A9" s="106"/>
      <c r="B9" s="100"/>
      <c r="C9" s="100"/>
      <c r="D9" s="5" t="s">
        <v>24</v>
      </c>
      <c r="E9" s="5" t="s">
        <v>29</v>
      </c>
      <c r="F9" s="5">
        <v>5</v>
      </c>
      <c r="G9" s="5">
        <v>4</v>
      </c>
      <c r="H9" s="5"/>
      <c r="I9" s="5"/>
      <c r="J9" s="5">
        <v>4</v>
      </c>
      <c r="K9" s="5"/>
      <c r="L9" s="5"/>
      <c r="M9" s="5"/>
      <c r="N9" s="78"/>
      <c r="O9" s="78"/>
      <c r="P9" s="4" t="s">
        <v>23</v>
      </c>
    </row>
    <row r="10" spans="1:16">
      <c r="A10" s="106"/>
      <c r="B10" s="100"/>
      <c r="C10" s="100"/>
      <c r="D10" s="5" t="s">
        <v>24</v>
      </c>
      <c r="E10" s="5" t="s">
        <v>30</v>
      </c>
      <c r="F10" s="5">
        <v>5</v>
      </c>
      <c r="G10" s="5">
        <v>4</v>
      </c>
      <c r="H10" s="5"/>
      <c r="I10" s="5"/>
      <c r="J10" s="5"/>
      <c r="K10" s="5">
        <v>4</v>
      </c>
      <c r="L10" s="5"/>
      <c r="M10" s="5"/>
      <c r="N10" s="79"/>
      <c r="O10" s="78"/>
      <c r="P10" s="4" t="s">
        <v>23</v>
      </c>
    </row>
    <row r="11" spans="1:16">
      <c r="A11" s="106"/>
      <c r="B11" s="100"/>
      <c r="C11" s="100" t="s">
        <v>31</v>
      </c>
      <c r="D11" s="5" t="s">
        <v>21</v>
      </c>
      <c r="E11" s="5" t="s">
        <v>32</v>
      </c>
      <c r="F11" s="5">
        <v>8</v>
      </c>
      <c r="G11" s="5">
        <v>7</v>
      </c>
      <c r="H11" s="5">
        <v>3</v>
      </c>
      <c r="I11" s="5">
        <v>4</v>
      </c>
      <c r="J11" s="5"/>
      <c r="K11" s="5"/>
      <c r="L11" s="5"/>
      <c r="M11" s="5"/>
      <c r="N11" s="77">
        <f>SUM(H11:M13)</f>
        <v>15</v>
      </c>
      <c r="O11" s="78"/>
      <c r="P11" s="4" t="s">
        <v>23</v>
      </c>
    </row>
    <row r="12" spans="1:16">
      <c r="A12" s="106"/>
      <c r="B12" s="100"/>
      <c r="C12" s="100"/>
      <c r="D12" s="5" t="s">
        <v>24</v>
      </c>
      <c r="E12" s="5" t="s">
        <v>33</v>
      </c>
      <c r="F12" s="5">
        <v>5</v>
      </c>
      <c r="G12" s="5">
        <v>4</v>
      </c>
      <c r="H12" s="5"/>
      <c r="I12" s="5"/>
      <c r="J12" s="5">
        <v>4</v>
      </c>
      <c r="K12" s="5"/>
      <c r="L12" s="5"/>
      <c r="M12" s="5"/>
      <c r="N12" s="78"/>
      <c r="O12" s="78"/>
      <c r="P12" s="4" t="s">
        <v>23</v>
      </c>
    </row>
    <row r="13" spans="1:16">
      <c r="A13" s="106"/>
      <c r="B13" s="100"/>
      <c r="C13" s="100"/>
      <c r="D13" s="5" t="s">
        <v>24</v>
      </c>
      <c r="E13" s="5" t="s">
        <v>34</v>
      </c>
      <c r="F13" s="5">
        <v>5</v>
      </c>
      <c r="G13" s="5">
        <v>4</v>
      </c>
      <c r="H13" s="5"/>
      <c r="I13" s="5"/>
      <c r="J13" s="5"/>
      <c r="K13" s="5">
        <v>4</v>
      </c>
      <c r="L13" s="5"/>
      <c r="M13" s="5"/>
      <c r="N13" s="79"/>
      <c r="O13" s="78"/>
      <c r="P13" s="4" t="s">
        <v>23</v>
      </c>
    </row>
    <row r="14" spans="1:16">
      <c r="A14" s="106"/>
      <c r="B14" s="100"/>
      <c r="C14" s="5" t="s">
        <v>35</v>
      </c>
      <c r="D14" s="5" t="s">
        <v>21</v>
      </c>
      <c r="E14" s="5" t="s">
        <v>36</v>
      </c>
      <c r="F14" s="5">
        <v>6</v>
      </c>
      <c r="G14" s="5">
        <v>6</v>
      </c>
      <c r="H14" s="5">
        <v>3</v>
      </c>
      <c r="I14" s="5">
        <v>3</v>
      </c>
      <c r="J14" s="5"/>
      <c r="K14" s="5"/>
      <c r="L14" s="5" t="s">
        <v>37</v>
      </c>
      <c r="M14" s="5" t="s">
        <v>37</v>
      </c>
      <c r="N14" s="5">
        <f>SUM(H14:M14)</f>
        <v>6</v>
      </c>
      <c r="O14" s="79"/>
      <c r="P14" s="4" t="s">
        <v>23</v>
      </c>
    </row>
    <row r="15" spans="1:16">
      <c r="A15" s="106"/>
      <c r="B15" s="100" t="s">
        <v>38</v>
      </c>
      <c r="C15" s="5" t="s">
        <v>39</v>
      </c>
      <c r="D15" s="5" t="s">
        <v>21</v>
      </c>
      <c r="E15" s="5" t="s">
        <v>40</v>
      </c>
      <c r="F15" s="5">
        <v>8</v>
      </c>
      <c r="G15" s="5">
        <v>6</v>
      </c>
      <c r="H15" s="5">
        <v>3</v>
      </c>
      <c r="I15" s="5">
        <v>3</v>
      </c>
      <c r="J15" s="5"/>
      <c r="K15" s="5"/>
      <c r="L15" s="5"/>
      <c r="M15" s="5"/>
      <c r="N15" s="6">
        <f>SUM(H15:M15)</f>
        <v>6</v>
      </c>
      <c r="O15" s="77">
        <f>SUM(N15:N17)</f>
        <v>14</v>
      </c>
      <c r="P15" s="4" t="s">
        <v>23</v>
      </c>
    </row>
    <row r="16" spans="1:16">
      <c r="A16" s="106"/>
      <c r="B16" s="100"/>
      <c r="C16" s="100" t="s">
        <v>41</v>
      </c>
      <c r="D16" s="5" t="s">
        <v>21</v>
      </c>
      <c r="E16" s="5" t="s">
        <v>42</v>
      </c>
      <c r="F16" s="5">
        <v>8</v>
      </c>
      <c r="G16" s="5">
        <v>6</v>
      </c>
      <c r="H16" s="5">
        <v>3</v>
      </c>
      <c r="I16" s="5">
        <v>3</v>
      </c>
      <c r="J16" s="5"/>
      <c r="K16" s="5"/>
      <c r="L16" s="5"/>
      <c r="M16" s="5"/>
      <c r="N16" s="77">
        <f>SUM(H16:M17)</f>
        <v>8</v>
      </c>
      <c r="O16" s="78"/>
      <c r="P16" s="4" t="s">
        <v>23</v>
      </c>
    </row>
    <row r="17" spans="1:16">
      <c r="A17" s="106"/>
      <c r="B17" s="100"/>
      <c r="C17" s="100"/>
      <c r="D17" s="5" t="s">
        <v>21</v>
      </c>
      <c r="E17" s="5" t="s">
        <v>43</v>
      </c>
      <c r="F17" s="5">
        <v>2</v>
      </c>
      <c r="G17" s="5">
        <v>2</v>
      </c>
      <c r="H17" s="5">
        <v>1</v>
      </c>
      <c r="I17" s="5">
        <v>1</v>
      </c>
      <c r="J17" s="5"/>
      <c r="K17" s="5"/>
      <c r="L17" s="5"/>
      <c r="M17" s="5"/>
      <c r="N17" s="79"/>
      <c r="O17" s="79"/>
      <c r="P17" s="4" t="s">
        <v>44</v>
      </c>
    </row>
    <row r="18" spans="1:16">
      <c r="A18" s="106"/>
      <c r="B18" s="90" t="s">
        <v>45</v>
      </c>
      <c r="C18" s="100" t="s">
        <v>46</v>
      </c>
      <c r="D18" s="5" t="s">
        <v>24</v>
      </c>
      <c r="E18" s="5" t="s">
        <v>47</v>
      </c>
      <c r="F18" s="5">
        <v>5</v>
      </c>
      <c r="G18" s="5">
        <v>4</v>
      </c>
      <c r="H18" s="5">
        <v>2</v>
      </c>
      <c r="I18" s="5">
        <v>2</v>
      </c>
      <c r="J18" s="5"/>
      <c r="K18" s="5"/>
      <c r="L18" s="5"/>
      <c r="M18" s="5"/>
      <c r="N18" s="77">
        <f>SUM(H18:M20)</f>
        <v>10</v>
      </c>
      <c r="O18" s="77">
        <f>SUM(H18:M20)</f>
        <v>10</v>
      </c>
      <c r="P18" s="4" t="s">
        <v>44</v>
      </c>
    </row>
    <row r="19" spans="1:16">
      <c r="A19" s="106"/>
      <c r="B19" s="98"/>
      <c r="C19" s="100"/>
      <c r="D19" s="5" t="s">
        <v>24</v>
      </c>
      <c r="E19" s="5" t="s">
        <v>48</v>
      </c>
      <c r="F19" s="5">
        <v>5</v>
      </c>
      <c r="G19" s="5">
        <v>4</v>
      </c>
      <c r="H19" s="5"/>
      <c r="I19" s="5"/>
      <c r="J19" s="5">
        <v>2</v>
      </c>
      <c r="K19" s="5">
        <v>2</v>
      </c>
      <c r="L19" s="5"/>
      <c r="M19" s="5"/>
      <c r="N19" s="78"/>
      <c r="O19" s="78"/>
      <c r="P19" s="4" t="s">
        <v>44</v>
      </c>
    </row>
    <row r="20" spans="1:16">
      <c r="A20" s="106"/>
      <c r="B20" s="98"/>
      <c r="C20" s="100"/>
      <c r="D20" s="5" t="s">
        <v>49</v>
      </c>
      <c r="E20" s="5" t="s">
        <v>50</v>
      </c>
      <c r="F20" s="5">
        <v>5</v>
      </c>
      <c r="G20" s="5">
        <v>2</v>
      </c>
      <c r="H20" s="5"/>
      <c r="I20" s="5"/>
      <c r="J20" s="5"/>
      <c r="K20" s="5"/>
      <c r="L20" s="5">
        <v>1</v>
      </c>
      <c r="M20" s="5">
        <v>1</v>
      </c>
      <c r="N20" s="79"/>
      <c r="O20" s="79"/>
      <c r="P20" s="4" t="s">
        <v>51</v>
      </c>
    </row>
    <row r="21" spans="1:16">
      <c r="A21" s="106"/>
      <c r="B21" s="98"/>
      <c r="C21" s="77" t="s">
        <v>52</v>
      </c>
      <c r="D21" s="5" t="s">
        <v>24</v>
      </c>
      <c r="E21" s="5" t="s">
        <v>53</v>
      </c>
      <c r="F21" s="5">
        <v>5</v>
      </c>
      <c r="G21" s="5" t="s">
        <v>54</v>
      </c>
      <c r="H21" s="5">
        <v>3</v>
      </c>
      <c r="I21" s="5">
        <v>3</v>
      </c>
      <c r="J21" s="5"/>
      <c r="K21" s="5"/>
      <c r="L21" s="5"/>
      <c r="M21" s="5"/>
      <c r="N21" s="6">
        <f>SUM(H21:M21)</f>
        <v>6</v>
      </c>
      <c r="O21" s="77">
        <f>SUM(H21:M23)</f>
        <v>10</v>
      </c>
      <c r="P21" s="4" t="s">
        <v>44</v>
      </c>
    </row>
    <row r="22" spans="1:16">
      <c r="A22" s="106"/>
      <c r="B22" s="98"/>
      <c r="C22" s="78"/>
      <c r="D22" s="3" t="s">
        <v>49</v>
      </c>
      <c r="E22" s="3" t="s">
        <v>55</v>
      </c>
      <c r="F22" s="3">
        <v>5</v>
      </c>
      <c r="G22" s="3">
        <v>2</v>
      </c>
      <c r="H22" s="5"/>
      <c r="I22" s="5"/>
      <c r="J22" s="5">
        <v>1</v>
      </c>
      <c r="K22" s="5">
        <v>1</v>
      </c>
      <c r="L22" s="5"/>
      <c r="M22" s="5"/>
      <c r="N22" s="6">
        <v>2</v>
      </c>
      <c r="O22" s="78"/>
      <c r="P22" s="4" t="s">
        <v>51</v>
      </c>
    </row>
    <row r="23" spans="1:16">
      <c r="A23" s="106"/>
      <c r="B23" s="99"/>
      <c r="C23" s="79"/>
      <c r="D23" s="5" t="s">
        <v>49</v>
      </c>
      <c r="E23" s="5" t="s">
        <v>56</v>
      </c>
      <c r="F23" s="5">
        <v>5</v>
      </c>
      <c r="G23" s="5">
        <v>2</v>
      </c>
      <c r="H23" s="5"/>
      <c r="I23" s="5"/>
      <c r="J23" s="5"/>
      <c r="K23" s="5"/>
      <c r="L23" s="5">
        <v>1</v>
      </c>
      <c r="M23" s="5">
        <v>1</v>
      </c>
      <c r="N23" s="6">
        <v>2</v>
      </c>
      <c r="O23" s="79"/>
      <c r="P23" s="4" t="s">
        <v>51</v>
      </c>
    </row>
    <row r="24" spans="1:16">
      <c r="A24" s="106"/>
      <c r="B24" s="89" t="s">
        <v>57</v>
      </c>
      <c r="C24" s="7" t="s">
        <v>58</v>
      </c>
      <c r="D24" s="5" t="s">
        <v>24</v>
      </c>
      <c r="E24" s="5" t="s">
        <v>59</v>
      </c>
      <c r="F24" s="5">
        <v>5</v>
      </c>
      <c r="G24" s="5" t="s">
        <v>54</v>
      </c>
      <c r="H24" s="5">
        <v>3</v>
      </c>
      <c r="I24" s="5">
        <v>3</v>
      </c>
      <c r="J24" s="8"/>
      <c r="K24" s="8"/>
      <c r="L24" s="8"/>
      <c r="M24" s="8"/>
      <c r="N24" s="6">
        <f>SUM(H24:M24)</f>
        <v>6</v>
      </c>
      <c r="O24" s="77">
        <f>SUM(N24:N26)</f>
        <v>10</v>
      </c>
      <c r="P24" s="4" t="s">
        <v>60</v>
      </c>
    </row>
    <row r="25" spans="1:16">
      <c r="A25" s="107"/>
      <c r="B25" s="90"/>
      <c r="C25" s="9" t="s">
        <v>61</v>
      </c>
      <c r="D25" s="6" t="s">
        <v>24</v>
      </c>
      <c r="E25" s="6" t="s">
        <v>62</v>
      </c>
      <c r="F25" s="6">
        <v>5</v>
      </c>
      <c r="G25" s="6">
        <v>2</v>
      </c>
      <c r="H25" s="6"/>
      <c r="I25" s="6"/>
      <c r="J25" s="10"/>
      <c r="K25" s="10"/>
      <c r="L25" s="6">
        <v>1</v>
      </c>
      <c r="M25" s="6">
        <v>1</v>
      </c>
      <c r="N25" s="6">
        <v>2</v>
      </c>
      <c r="O25" s="78"/>
      <c r="P25" s="4" t="s">
        <v>63</v>
      </c>
    </row>
    <row r="26" spans="1:16" ht="17.25" thickBot="1">
      <c r="A26" s="107"/>
      <c r="B26" s="77"/>
      <c r="C26" s="6" t="s">
        <v>61</v>
      </c>
      <c r="D26" s="6" t="s">
        <v>24</v>
      </c>
      <c r="E26" s="6" t="s">
        <v>64</v>
      </c>
      <c r="F26" s="6">
        <v>5</v>
      </c>
      <c r="G26" s="6">
        <v>2</v>
      </c>
      <c r="H26" s="6">
        <v>1</v>
      </c>
      <c r="I26" s="6">
        <v>1</v>
      </c>
      <c r="J26" s="6"/>
      <c r="K26" s="6"/>
      <c r="L26" s="6"/>
      <c r="M26" s="6"/>
      <c r="N26" s="6">
        <f>SUM(H26:M26)</f>
        <v>2</v>
      </c>
      <c r="O26" s="91"/>
      <c r="P26" s="4" t="s">
        <v>63</v>
      </c>
    </row>
    <row r="27" spans="1:16" ht="17.25" thickBot="1">
      <c r="A27" s="55" t="s">
        <v>65</v>
      </c>
      <c r="B27" s="56"/>
      <c r="C27" s="56"/>
      <c r="D27" s="56"/>
      <c r="E27" s="57"/>
      <c r="F27" s="11"/>
      <c r="G27" s="11"/>
      <c r="H27" s="12">
        <f t="shared" ref="H27:M27" si="0">SUM(H5:H26)</f>
        <v>29</v>
      </c>
      <c r="I27" s="12">
        <f t="shared" si="0"/>
        <v>29</v>
      </c>
      <c r="J27" s="12">
        <f t="shared" si="0"/>
        <v>15</v>
      </c>
      <c r="K27" s="12">
        <f t="shared" si="0"/>
        <v>15</v>
      </c>
      <c r="L27" s="12">
        <f t="shared" si="0"/>
        <v>3</v>
      </c>
      <c r="M27" s="12">
        <f t="shared" si="0"/>
        <v>3</v>
      </c>
      <c r="N27" s="11"/>
      <c r="O27" s="12">
        <f>SUM(O5:O26)</f>
        <v>94</v>
      </c>
      <c r="P27" s="13"/>
    </row>
    <row r="28" spans="1:16">
      <c r="A28" s="14"/>
      <c r="B28" s="92" t="s">
        <v>66</v>
      </c>
      <c r="C28" s="93" t="s">
        <v>67</v>
      </c>
      <c r="D28" s="15" t="s">
        <v>24</v>
      </c>
      <c r="E28" s="15" t="s">
        <v>68</v>
      </c>
      <c r="F28" s="15">
        <v>5</v>
      </c>
      <c r="G28" s="15">
        <v>4</v>
      </c>
      <c r="H28" s="15"/>
      <c r="I28" s="16"/>
      <c r="J28" s="17">
        <v>2</v>
      </c>
      <c r="K28" s="17">
        <v>2</v>
      </c>
      <c r="L28" s="18"/>
      <c r="M28" s="19"/>
      <c r="N28" s="95">
        <f>SUM(H28:M29)</f>
        <v>8</v>
      </c>
      <c r="O28" s="96">
        <f>N28</f>
        <v>8</v>
      </c>
      <c r="P28" s="20" t="s">
        <v>23</v>
      </c>
    </row>
    <row r="29" spans="1:16" ht="17.25" thickBot="1">
      <c r="A29" s="14"/>
      <c r="B29" s="81"/>
      <c r="C29" s="94"/>
      <c r="D29" s="15" t="s">
        <v>24</v>
      </c>
      <c r="E29" s="15" t="s">
        <v>69</v>
      </c>
      <c r="F29" s="15">
        <v>5</v>
      </c>
      <c r="G29" s="15">
        <v>4</v>
      </c>
      <c r="H29" s="15"/>
      <c r="I29" s="16"/>
      <c r="J29" s="21">
        <v>2</v>
      </c>
      <c r="K29" s="22">
        <v>2</v>
      </c>
      <c r="L29" s="23"/>
      <c r="M29" s="15"/>
      <c r="N29" s="95"/>
      <c r="O29" s="97"/>
      <c r="P29" s="20" t="s">
        <v>23</v>
      </c>
    </row>
    <row r="30" spans="1:16">
      <c r="A30" s="14"/>
      <c r="B30" s="82" t="s">
        <v>70</v>
      </c>
      <c r="C30" s="24" t="s">
        <v>20</v>
      </c>
      <c r="D30" s="15" t="s">
        <v>24</v>
      </c>
      <c r="E30" s="15" t="s">
        <v>71</v>
      </c>
      <c r="F30" s="15">
        <v>5</v>
      </c>
      <c r="G30" s="15">
        <v>4</v>
      </c>
      <c r="H30" s="15"/>
      <c r="I30" s="16"/>
      <c r="J30" s="25">
        <v>4</v>
      </c>
      <c r="K30" s="17">
        <v>4</v>
      </c>
      <c r="L30" s="26"/>
      <c r="M30" s="27"/>
      <c r="N30" s="83">
        <f>SUM(J30:K45)</f>
        <v>128</v>
      </c>
      <c r="O30" s="85">
        <f>SUM(J30:K45)</f>
        <v>128</v>
      </c>
      <c r="P30" s="20" t="s">
        <v>23</v>
      </c>
    </row>
    <row r="31" spans="1:16">
      <c r="A31" s="14"/>
      <c r="B31" s="80"/>
      <c r="C31" s="24" t="s">
        <v>27</v>
      </c>
      <c r="D31" s="15" t="s">
        <v>24</v>
      </c>
      <c r="E31" s="15" t="s">
        <v>72</v>
      </c>
      <c r="F31" s="15">
        <v>5</v>
      </c>
      <c r="G31" s="15">
        <v>4</v>
      </c>
      <c r="H31" s="15"/>
      <c r="I31" s="16"/>
      <c r="J31" s="28">
        <v>4</v>
      </c>
      <c r="K31" s="22">
        <v>4</v>
      </c>
      <c r="L31" s="23"/>
      <c r="M31" s="15"/>
      <c r="N31" s="84"/>
      <c r="O31" s="85"/>
      <c r="P31" s="20" t="s">
        <v>23</v>
      </c>
    </row>
    <row r="32" spans="1:16">
      <c r="A32" s="14"/>
      <c r="B32" s="80"/>
      <c r="C32" s="29" t="s">
        <v>31</v>
      </c>
      <c r="D32" s="15" t="s">
        <v>24</v>
      </c>
      <c r="E32" s="15" t="s">
        <v>73</v>
      </c>
      <c r="F32" s="15">
        <v>5</v>
      </c>
      <c r="G32" s="15">
        <v>4</v>
      </c>
      <c r="H32" s="15"/>
      <c r="I32" s="16"/>
      <c r="J32" s="28">
        <v>4</v>
      </c>
      <c r="K32" s="22">
        <v>4</v>
      </c>
      <c r="L32" s="23"/>
      <c r="M32" s="15"/>
      <c r="N32" s="84"/>
      <c r="O32" s="85"/>
      <c r="P32" s="20" t="s">
        <v>23</v>
      </c>
    </row>
    <row r="33" spans="1:16">
      <c r="A33" s="14"/>
      <c r="B33" s="80"/>
      <c r="C33" s="86" t="s">
        <v>74</v>
      </c>
      <c r="D33" s="15" t="s">
        <v>24</v>
      </c>
      <c r="E33" s="15" t="s">
        <v>75</v>
      </c>
      <c r="F33" s="15">
        <v>5</v>
      </c>
      <c r="G33" s="15">
        <v>4</v>
      </c>
      <c r="H33" s="15"/>
      <c r="I33" s="16"/>
      <c r="J33" s="30">
        <v>4</v>
      </c>
      <c r="K33" s="22">
        <v>4</v>
      </c>
      <c r="L33" s="23"/>
      <c r="M33" s="15"/>
      <c r="N33" s="84"/>
      <c r="O33" s="85"/>
      <c r="P33" s="20" t="s">
        <v>23</v>
      </c>
    </row>
    <row r="34" spans="1:16">
      <c r="A34" s="14"/>
      <c r="B34" s="80"/>
      <c r="C34" s="87"/>
      <c r="D34" s="15" t="s">
        <v>24</v>
      </c>
      <c r="E34" s="15" t="s">
        <v>76</v>
      </c>
      <c r="F34" s="15">
        <v>5</v>
      </c>
      <c r="G34" s="15">
        <v>4</v>
      </c>
      <c r="H34" s="15"/>
      <c r="I34" s="16"/>
      <c r="J34" s="28">
        <v>4</v>
      </c>
      <c r="K34" s="22">
        <v>4</v>
      </c>
      <c r="L34" s="23"/>
      <c r="M34" s="15"/>
      <c r="N34" s="84"/>
      <c r="O34" s="85"/>
      <c r="P34" s="20" t="s">
        <v>23</v>
      </c>
    </row>
    <row r="35" spans="1:16">
      <c r="A35" s="14"/>
      <c r="B35" s="80"/>
      <c r="C35" s="87"/>
      <c r="D35" s="15" t="s">
        <v>24</v>
      </c>
      <c r="E35" s="15" t="s">
        <v>77</v>
      </c>
      <c r="F35" s="15">
        <v>5</v>
      </c>
      <c r="G35" s="15">
        <v>4</v>
      </c>
      <c r="H35" s="15"/>
      <c r="I35" s="16"/>
      <c r="J35" s="30">
        <v>4</v>
      </c>
      <c r="K35" s="22">
        <v>4</v>
      </c>
      <c r="L35" s="23"/>
      <c r="M35" s="15"/>
      <c r="N35" s="84"/>
      <c r="O35" s="85"/>
      <c r="P35" s="20" t="s">
        <v>23</v>
      </c>
    </row>
    <row r="36" spans="1:16">
      <c r="A36" s="14"/>
      <c r="B36" s="80"/>
      <c r="C36" s="87"/>
      <c r="D36" s="15" t="s">
        <v>24</v>
      </c>
      <c r="E36" s="15" t="s">
        <v>78</v>
      </c>
      <c r="F36" s="15">
        <v>5</v>
      </c>
      <c r="G36" s="15">
        <v>4</v>
      </c>
      <c r="H36" s="15"/>
      <c r="I36" s="16"/>
      <c r="J36" s="28">
        <v>4</v>
      </c>
      <c r="K36" s="22">
        <v>4</v>
      </c>
      <c r="L36" s="23"/>
      <c r="M36" s="15"/>
      <c r="N36" s="84"/>
      <c r="O36" s="85"/>
      <c r="P36" s="20" t="s">
        <v>23</v>
      </c>
    </row>
    <row r="37" spans="1:16">
      <c r="A37" s="14"/>
      <c r="B37" s="80"/>
      <c r="C37" s="87"/>
      <c r="D37" s="31" t="s">
        <v>24</v>
      </c>
      <c r="E37" s="31" t="s">
        <v>79</v>
      </c>
      <c r="F37" s="31">
        <v>5</v>
      </c>
      <c r="G37" s="15">
        <v>4</v>
      </c>
      <c r="H37" s="15"/>
      <c r="I37" s="16"/>
      <c r="J37" s="30">
        <v>4</v>
      </c>
      <c r="K37" s="22">
        <v>4</v>
      </c>
      <c r="L37" s="23"/>
      <c r="M37" s="15"/>
      <c r="N37" s="84"/>
      <c r="O37" s="85"/>
      <c r="P37" s="20" t="s">
        <v>60</v>
      </c>
    </row>
    <row r="38" spans="1:16">
      <c r="A38" s="14"/>
      <c r="B38" s="80"/>
      <c r="C38" s="87"/>
      <c r="D38" s="15" t="s">
        <v>49</v>
      </c>
      <c r="E38" s="32" t="s">
        <v>80</v>
      </c>
      <c r="F38" s="32">
        <v>5</v>
      </c>
      <c r="G38" s="32">
        <v>4</v>
      </c>
      <c r="H38" s="15"/>
      <c r="I38" s="16"/>
      <c r="J38" s="28">
        <v>4</v>
      </c>
      <c r="K38" s="22">
        <v>4</v>
      </c>
      <c r="L38" s="23"/>
      <c r="M38" s="15"/>
      <c r="N38" s="84"/>
      <c r="O38" s="85"/>
      <c r="P38" s="20" t="s">
        <v>51</v>
      </c>
    </row>
    <row r="39" spans="1:16">
      <c r="A39" s="14"/>
      <c r="B39" s="80"/>
      <c r="C39" s="88"/>
      <c r="D39" s="15" t="s">
        <v>49</v>
      </c>
      <c r="E39" s="32" t="s">
        <v>81</v>
      </c>
      <c r="F39" s="32">
        <v>5</v>
      </c>
      <c r="G39" s="32">
        <v>4</v>
      </c>
      <c r="H39" s="15"/>
      <c r="I39" s="16"/>
      <c r="J39" s="30">
        <v>4</v>
      </c>
      <c r="K39" s="22">
        <v>4</v>
      </c>
      <c r="L39" s="23"/>
      <c r="M39" s="15"/>
      <c r="N39" s="84"/>
      <c r="O39" s="85"/>
      <c r="P39" s="20" t="s">
        <v>51</v>
      </c>
    </row>
    <row r="40" spans="1:16">
      <c r="A40" s="14"/>
      <c r="B40" s="80"/>
      <c r="C40" s="86" t="s">
        <v>41</v>
      </c>
      <c r="D40" s="15" t="s">
        <v>24</v>
      </c>
      <c r="E40" s="32" t="s">
        <v>82</v>
      </c>
      <c r="F40" s="32">
        <v>5</v>
      </c>
      <c r="G40" s="32">
        <v>4</v>
      </c>
      <c r="H40" s="15"/>
      <c r="I40" s="16"/>
      <c r="J40" s="28">
        <v>4</v>
      </c>
      <c r="K40" s="22">
        <v>4</v>
      </c>
      <c r="L40" s="23"/>
      <c r="M40" s="15"/>
      <c r="N40" s="84"/>
      <c r="O40" s="85"/>
      <c r="P40" s="20" t="s">
        <v>23</v>
      </c>
    </row>
    <row r="41" spans="1:16">
      <c r="A41" s="14"/>
      <c r="B41" s="80"/>
      <c r="C41" s="87"/>
      <c r="D41" s="15" t="s">
        <v>24</v>
      </c>
      <c r="E41" s="32" t="s">
        <v>83</v>
      </c>
      <c r="F41" s="32">
        <v>5</v>
      </c>
      <c r="G41" s="32">
        <v>4</v>
      </c>
      <c r="H41" s="15"/>
      <c r="I41" s="16"/>
      <c r="J41" s="30">
        <v>4</v>
      </c>
      <c r="K41" s="22">
        <v>4</v>
      </c>
      <c r="L41" s="23"/>
      <c r="M41" s="15"/>
      <c r="N41" s="84"/>
      <c r="O41" s="85"/>
      <c r="P41" s="20" t="s">
        <v>23</v>
      </c>
    </row>
    <row r="42" spans="1:16">
      <c r="A42" s="14"/>
      <c r="B42" s="80"/>
      <c r="C42" s="87"/>
      <c r="D42" s="15" t="s">
        <v>24</v>
      </c>
      <c r="E42" s="32" t="s">
        <v>84</v>
      </c>
      <c r="F42" s="32">
        <v>5</v>
      </c>
      <c r="G42" s="32">
        <v>4</v>
      </c>
      <c r="H42" s="15"/>
      <c r="I42" s="16"/>
      <c r="J42" s="28">
        <v>4</v>
      </c>
      <c r="K42" s="22">
        <v>4</v>
      </c>
      <c r="L42" s="23"/>
      <c r="M42" s="15"/>
      <c r="N42" s="84"/>
      <c r="O42" s="85"/>
      <c r="P42" s="20" t="s">
        <v>23</v>
      </c>
    </row>
    <row r="43" spans="1:16">
      <c r="A43" s="14"/>
      <c r="B43" s="80"/>
      <c r="C43" s="87"/>
      <c r="D43" s="15" t="s">
        <v>24</v>
      </c>
      <c r="E43" s="32" t="s">
        <v>85</v>
      </c>
      <c r="F43" s="32">
        <v>5</v>
      </c>
      <c r="G43" s="32">
        <v>4</v>
      </c>
      <c r="H43" s="15"/>
      <c r="I43" s="16"/>
      <c r="J43" s="30">
        <v>4</v>
      </c>
      <c r="K43" s="22">
        <v>4</v>
      </c>
      <c r="L43" s="23"/>
      <c r="M43" s="15"/>
      <c r="N43" s="84"/>
      <c r="O43" s="85"/>
      <c r="P43" s="20" t="s">
        <v>23</v>
      </c>
    </row>
    <row r="44" spans="1:16">
      <c r="A44" s="14"/>
      <c r="B44" s="80"/>
      <c r="C44" s="88"/>
      <c r="D44" s="15" t="s">
        <v>49</v>
      </c>
      <c r="E44" s="32" t="s">
        <v>86</v>
      </c>
      <c r="F44" s="32">
        <v>5</v>
      </c>
      <c r="G44" s="32">
        <v>4</v>
      </c>
      <c r="H44" s="15"/>
      <c r="I44" s="16"/>
      <c r="J44" s="28">
        <v>4</v>
      </c>
      <c r="K44" s="22">
        <v>4</v>
      </c>
      <c r="L44" s="23"/>
      <c r="M44" s="15"/>
      <c r="N44" s="84"/>
      <c r="O44" s="85"/>
      <c r="P44" s="20" t="s">
        <v>51</v>
      </c>
    </row>
    <row r="45" spans="1:16" ht="17.25" thickBot="1">
      <c r="A45" s="14"/>
      <c r="B45" s="81"/>
      <c r="C45" s="33" t="s">
        <v>46</v>
      </c>
      <c r="D45" s="15" t="s">
        <v>49</v>
      </c>
      <c r="E45" s="15" t="s">
        <v>87</v>
      </c>
      <c r="F45" s="15">
        <v>5</v>
      </c>
      <c r="G45" s="15">
        <v>4</v>
      </c>
      <c r="H45" s="15"/>
      <c r="I45" s="15"/>
      <c r="J45" s="34">
        <v>4</v>
      </c>
      <c r="K45" s="35">
        <v>4</v>
      </c>
      <c r="L45" s="23"/>
      <c r="M45" s="15"/>
      <c r="N45" s="84"/>
      <c r="O45" s="85"/>
      <c r="P45" s="20" t="s">
        <v>51</v>
      </c>
    </row>
    <row r="46" spans="1:16">
      <c r="A46" s="14"/>
      <c r="B46" s="82" t="s">
        <v>88</v>
      </c>
      <c r="C46" s="77" t="s">
        <v>22</v>
      </c>
      <c r="D46" s="5" t="s">
        <v>24</v>
      </c>
      <c r="E46" s="5" t="s">
        <v>89</v>
      </c>
      <c r="F46" s="5">
        <v>5</v>
      </c>
      <c r="G46" s="5">
        <v>4</v>
      </c>
      <c r="H46" s="36"/>
      <c r="I46" s="37"/>
      <c r="J46" s="38"/>
      <c r="K46" s="38"/>
      <c r="L46" s="17">
        <v>4</v>
      </c>
      <c r="M46" s="17">
        <v>4</v>
      </c>
      <c r="N46" s="83">
        <f>SUM(L46:M79)</f>
        <v>272</v>
      </c>
      <c r="O46" s="83">
        <f>N46</f>
        <v>272</v>
      </c>
      <c r="P46" s="20" t="s">
        <v>23</v>
      </c>
    </row>
    <row r="47" spans="1:16">
      <c r="A47" s="14"/>
      <c r="B47" s="80"/>
      <c r="C47" s="78"/>
      <c r="D47" s="5" t="s">
        <v>90</v>
      </c>
      <c r="E47" s="5" t="s">
        <v>91</v>
      </c>
      <c r="F47" s="5">
        <v>5</v>
      </c>
      <c r="G47" s="5">
        <v>4</v>
      </c>
      <c r="H47" s="36"/>
      <c r="I47" s="37"/>
      <c r="J47" s="37"/>
      <c r="K47" s="37"/>
      <c r="L47" s="22">
        <v>4</v>
      </c>
      <c r="M47" s="22">
        <v>4</v>
      </c>
      <c r="N47" s="84"/>
      <c r="O47" s="84"/>
      <c r="P47" s="20" t="s">
        <v>51</v>
      </c>
    </row>
    <row r="48" spans="1:16">
      <c r="A48" s="14"/>
      <c r="B48" s="80"/>
      <c r="C48" s="78"/>
      <c r="D48" s="5" t="s">
        <v>49</v>
      </c>
      <c r="E48" s="5" t="s">
        <v>92</v>
      </c>
      <c r="F48" s="5">
        <v>5</v>
      </c>
      <c r="G48" s="5">
        <v>4</v>
      </c>
      <c r="H48" s="36"/>
      <c r="I48" s="37"/>
      <c r="J48" s="36"/>
      <c r="K48" s="37"/>
      <c r="L48" s="22">
        <v>4</v>
      </c>
      <c r="M48" s="22">
        <v>4</v>
      </c>
      <c r="N48" s="84"/>
      <c r="O48" s="84"/>
      <c r="P48" s="20" t="s">
        <v>93</v>
      </c>
    </row>
    <row r="49" spans="1:16">
      <c r="A49" s="14"/>
      <c r="B49" s="80"/>
      <c r="C49" s="78"/>
      <c r="D49" s="5" t="s">
        <v>90</v>
      </c>
      <c r="E49" s="5" t="s">
        <v>94</v>
      </c>
      <c r="F49" s="5">
        <v>5</v>
      </c>
      <c r="G49" s="5">
        <v>4</v>
      </c>
      <c r="H49" s="36"/>
      <c r="I49" s="37"/>
      <c r="J49" s="36"/>
      <c r="K49" s="37"/>
      <c r="L49" s="22">
        <v>4</v>
      </c>
      <c r="M49" s="22">
        <v>4</v>
      </c>
      <c r="N49" s="84"/>
      <c r="O49" s="84"/>
      <c r="P49" s="20" t="s">
        <v>51</v>
      </c>
    </row>
    <row r="50" spans="1:16">
      <c r="A50" s="14"/>
      <c r="B50" s="80"/>
      <c r="C50" s="79"/>
      <c r="D50" s="5" t="s">
        <v>49</v>
      </c>
      <c r="E50" s="5" t="s">
        <v>95</v>
      </c>
      <c r="F50" s="5">
        <v>5</v>
      </c>
      <c r="G50" s="5">
        <v>4</v>
      </c>
      <c r="H50" s="36"/>
      <c r="I50" s="37"/>
      <c r="J50" s="36"/>
      <c r="K50" s="37"/>
      <c r="L50" s="22">
        <v>4</v>
      </c>
      <c r="M50" s="22">
        <v>4</v>
      </c>
      <c r="N50" s="84"/>
      <c r="O50" s="84"/>
      <c r="P50" s="20" t="s">
        <v>51</v>
      </c>
    </row>
    <row r="51" spans="1:16">
      <c r="A51" s="14"/>
      <c r="B51" s="80"/>
      <c r="C51" s="77" t="s">
        <v>28</v>
      </c>
      <c r="D51" s="5" t="s">
        <v>24</v>
      </c>
      <c r="E51" s="5" t="s">
        <v>96</v>
      </c>
      <c r="F51" s="5">
        <v>5</v>
      </c>
      <c r="G51" s="5">
        <v>4</v>
      </c>
      <c r="H51" s="36"/>
      <c r="I51" s="37"/>
      <c r="J51" s="36"/>
      <c r="K51" s="37"/>
      <c r="L51" s="22">
        <v>4</v>
      </c>
      <c r="M51" s="22">
        <v>4</v>
      </c>
      <c r="N51" s="84"/>
      <c r="O51" s="84"/>
      <c r="P51" s="20" t="s">
        <v>23</v>
      </c>
    </row>
    <row r="52" spans="1:16">
      <c r="A52" s="14"/>
      <c r="B52" s="80"/>
      <c r="C52" s="78"/>
      <c r="D52" s="5" t="s">
        <v>49</v>
      </c>
      <c r="E52" s="5" t="s">
        <v>97</v>
      </c>
      <c r="F52" s="5">
        <v>5</v>
      </c>
      <c r="G52" s="5">
        <v>4</v>
      </c>
      <c r="H52" s="36"/>
      <c r="I52" s="37"/>
      <c r="J52" s="36"/>
      <c r="K52" s="37"/>
      <c r="L52" s="22">
        <v>4</v>
      </c>
      <c r="M52" s="22">
        <v>4</v>
      </c>
      <c r="N52" s="84"/>
      <c r="O52" s="84"/>
      <c r="P52" s="20" t="s">
        <v>51</v>
      </c>
    </row>
    <row r="53" spans="1:16">
      <c r="A53" s="14"/>
      <c r="B53" s="80"/>
      <c r="C53" s="78"/>
      <c r="D53" s="5" t="s">
        <v>49</v>
      </c>
      <c r="E53" s="5" t="s">
        <v>98</v>
      </c>
      <c r="F53" s="5">
        <v>5</v>
      </c>
      <c r="G53" s="5">
        <v>4</v>
      </c>
      <c r="H53" s="36"/>
      <c r="I53" s="37"/>
      <c r="J53" s="36"/>
      <c r="K53" s="37"/>
      <c r="L53" s="22">
        <v>4</v>
      </c>
      <c r="M53" s="22">
        <v>4</v>
      </c>
      <c r="N53" s="84"/>
      <c r="O53" s="84"/>
      <c r="P53" s="20" t="s">
        <v>51</v>
      </c>
    </row>
    <row r="54" spans="1:16">
      <c r="A54" s="14"/>
      <c r="B54" s="80"/>
      <c r="C54" s="78"/>
      <c r="D54" s="5" t="s">
        <v>49</v>
      </c>
      <c r="E54" s="5" t="s">
        <v>99</v>
      </c>
      <c r="F54" s="5">
        <v>5</v>
      </c>
      <c r="G54" s="5">
        <v>4</v>
      </c>
      <c r="H54" s="36"/>
      <c r="I54" s="37"/>
      <c r="J54" s="36"/>
      <c r="K54" s="37"/>
      <c r="L54" s="22">
        <v>4</v>
      </c>
      <c r="M54" s="22">
        <v>4</v>
      </c>
      <c r="N54" s="84"/>
      <c r="O54" s="84"/>
      <c r="P54" s="20" t="s">
        <v>93</v>
      </c>
    </row>
    <row r="55" spans="1:16">
      <c r="A55" s="14"/>
      <c r="B55" s="80"/>
      <c r="C55" s="78"/>
      <c r="D55" s="5" t="s">
        <v>49</v>
      </c>
      <c r="E55" s="5" t="s">
        <v>100</v>
      </c>
      <c r="F55" s="5">
        <v>5</v>
      </c>
      <c r="G55" s="5">
        <v>4</v>
      </c>
      <c r="H55" s="36"/>
      <c r="I55" s="37"/>
      <c r="J55" s="36"/>
      <c r="K55" s="37"/>
      <c r="L55" s="22">
        <v>4</v>
      </c>
      <c r="M55" s="22">
        <v>4</v>
      </c>
      <c r="N55" s="84"/>
      <c r="O55" s="84"/>
      <c r="P55" s="20" t="s">
        <v>51</v>
      </c>
    </row>
    <row r="56" spans="1:16">
      <c r="A56" s="14"/>
      <c r="B56" s="80"/>
      <c r="C56" s="79"/>
      <c r="D56" s="5" t="s">
        <v>49</v>
      </c>
      <c r="E56" s="5" t="s">
        <v>101</v>
      </c>
      <c r="F56" s="5">
        <v>5</v>
      </c>
      <c r="G56" s="5">
        <v>4</v>
      </c>
      <c r="H56" s="36"/>
      <c r="I56" s="37"/>
      <c r="J56" s="36"/>
      <c r="K56" s="37"/>
      <c r="L56" s="22">
        <v>4</v>
      </c>
      <c r="M56" s="22">
        <v>4</v>
      </c>
      <c r="N56" s="84"/>
      <c r="O56" s="84"/>
      <c r="P56" s="20" t="s">
        <v>51</v>
      </c>
    </row>
    <row r="57" spans="1:16">
      <c r="A57" s="14"/>
      <c r="B57" s="80"/>
      <c r="C57" s="77" t="s">
        <v>32</v>
      </c>
      <c r="D57" s="5" t="s">
        <v>24</v>
      </c>
      <c r="E57" s="5" t="s">
        <v>102</v>
      </c>
      <c r="F57" s="5">
        <v>5</v>
      </c>
      <c r="G57" s="5">
        <v>4</v>
      </c>
      <c r="H57" s="36"/>
      <c r="I57" s="37"/>
      <c r="J57" s="36"/>
      <c r="K57" s="37"/>
      <c r="L57" s="22">
        <v>4</v>
      </c>
      <c r="M57" s="22">
        <v>4</v>
      </c>
      <c r="N57" s="84"/>
      <c r="O57" s="84"/>
      <c r="P57" s="20" t="s">
        <v>60</v>
      </c>
    </row>
    <row r="58" spans="1:16">
      <c r="A58" s="14"/>
      <c r="B58" s="80"/>
      <c r="C58" s="78"/>
      <c r="D58" s="5" t="s">
        <v>49</v>
      </c>
      <c r="E58" s="5" t="s">
        <v>103</v>
      </c>
      <c r="F58" s="5">
        <v>5</v>
      </c>
      <c r="G58" s="5">
        <v>4</v>
      </c>
      <c r="H58" s="36"/>
      <c r="I58" s="37"/>
      <c r="J58" s="36"/>
      <c r="K58" s="37"/>
      <c r="L58" s="22">
        <v>4</v>
      </c>
      <c r="M58" s="22">
        <v>4</v>
      </c>
      <c r="N58" s="84"/>
      <c r="O58" s="84"/>
      <c r="P58" s="20" t="s">
        <v>51</v>
      </c>
    </row>
    <row r="59" spans="1:16">
      <c r="A59" s="14"/>
      <c r="B59" s="80"/>
      <c r="C59" s="78"/>
      <c r="D59" s="5" t="s">
        <v>49</v>
      </c>
      <c r="E59" s="5" t="s">
        <v>104</v>
      </c>
      <c r="F59" s="5">
        <v>5</v>
      </c>
      <c r="G59" s="5">
        <v>4</v>
      </c>
      <c r="H59" s="36"/>
      <c r="I59" s="37"/>
      <c r="J59" s="36"/>
      <c r="K59" s="37"/>
      <c r="L59" s="22">
        <v>4</v>
      </c>
      <c r="M59" s="22">
        <v>4</v>
      </c>
      <c r="N59" s="84"/>
      <c r="O59" s="84"/>
      <c r="P59" s="20" t="s">
        <v>51</v>
      </c>
    </row>
    <row r="60" spans="1:16">
      <c r="A60" s="14"/>
      <c r="B60" s="80"/>
      <c r="C60" s="79"/>
      <c r="D60" s="5" t="s">
        <v>49</v>
      </c>
      <c r="E60" s="5" t="s">
        <v>105</v>
      </c>
      <c r="F60" s="5">
        <v>5</v>
      </c>
      <c r="G60" s="5">
        <v>4</v>
      </c>
      <c r="H60" s="36"/>
      <c r="I60" s="37"/>
      <c r="J60" s="36"/>
      <c r="K60" s="37"/>
      <c r="L60" s="22">
        <v>4</v>
      </c>
      <c r="M60" s="22">
        <v>4</v>
      </c>
      <c r="N60" s="84"/>
      <c r="O60" s="84"/>
      <c r="P60" s="20" t="s">
        <v>51</v>
      </c>
    </row>
    <row r="61" spans="1:16">
      <c r="A61" s="14"/>
      <c r="B61" s="80"/>
      <c r="C61" s="77" t="s">
        <v>74</v>
      </c>
      <c r="D61" s="5" t="s">
        <v>24</v>
      </c>
      <c r="E61" s="5" t="s">
        <v>106</v>
      </c>
      <c r="F61" s="5">
        <v>5</v>
      </c>
      <c r="G61" s="5">
        <v>4</v>
      </c>
      <c r="H61" s="36"/>
      <c r="I61" s="37"/>
      <c r="J61" s="36"/>
      <c r="K61" s="37"/>
      <c r="L61" s="22">
        <v>4</v>
      </c>
      <c r="M61" s="22">
        <v>4</v>
      </c>
      <c r="N61" s="84"/>
      <c r="O61" s="84"/>
      <c r="P61" s="20" t="s">
        <v>23</v>
      </c>
    </row>
    <row r="62" spans="1:16">
      <c r="A62" s="14"/>
      <c r="B62" s="80"/>
      <c r="C62" s="78"/>
      <c r="D62" s="5" t="s">
        <v>24</v>
      </c>
      <c r="E62" s="5" t="s">
        <v>107</v>
      </c>
      <c r="F62" s="5">
        <v>5</v>
      </c>
      <c r="G62" s="5">
        <v>4</v>
      </c>
      <c r="H62" s="36"/>
      <c r="I62" s="37"/>
      <c r="J62" s="36"/>
      <c r="K62" s="37"/>
      <c r="L62" s="22">
        <v>4</v>
      </c>
      <c r="M62" s="22">
        <v>4</v>
      </c>
      <c r="N62" s="84"/>
      <c r="O62" s="84"/>
      <c r="P62" s="20" t="s">
        <v>23</v>
      </c>
    </row>
    <row r="63" spans="1:16">
      <c r="A63" s="14"/>
      <c r="B63" s="80"/>
      <c r="C63" s="78"/>
      <c r="D63" s="5" t="s">
        <v>24</v>
      </c>
      <c r="E63" s="5" t="s">
        <v>108</v>
      </c>
      <c r="F63" s="5">
        <v>5</v>
      </c>
      <c r="G63" s="5">
        <v>4</v>
      </c>
      <c r="H63" s="36"/>
      <c r="I63" s="37"/>
      <c r="J63" s="36"/>
      <c r="K63" s="37"/>
      <c r="L63" s="22">
        <v>4</v>
      </c>
      <c r="M63" s="22">
        <v>4</v>
      </c>
      <c r="N63" s="84"/>
      <c r="O63" s="84"/>
      <c r="P63" s="20" t="s">
        <v>23</v>
      </c>
    </row>
    <row r="64" spans="1:16">
      <c r="A64" s="14"/>
      <c r="B64" s="80"/>
      <c r="C64" s="78"/>
      <c r="D64" s="5" t="s">
        <v>24</v>
      </c>
      <c r="E64" s="5" t="s">
        <v>109</v>
      </c>
      <c r="F64" s="5">
        <v>5</v>
      </c>
      <c r="G64" s="5">
        <v>4</v>
      </c>
      <c r="H64" s="36"/>
      <c r="I64" s="37"/>
      <c r="J64" s="36"/>
      <c r="K64" s="37"/>
      <c r="L64" s="22">
        <v>4</v>
      </c>
      <c r="M64" s="22">
        <v>4</v>
      </c>
      <c r="N64" s="84"/>
      <c r="O64" s="84"/>
      <c r="P64" s="20" t="s">
        <v>23</v>
      </c>
    </row>
    <row r="65" spans="1:16">
      <c r="A65" s="14"/>
      <c r="B65" s="80"/>
      <c r="C65" s="78"/>
      <c r="D65" s="5" t="s">
        <v>49</v>
      </c>
      <c r="E65" s="5" t="s">
        <v>110</v>
      </c>
      <c r="F65" s="5">
        <v>5</v>
      </c>
      <c r="G65" s="5">
        <v>4</v>
      </c>
      <c r="H65" s="36"/>
      <c r="I65" s="37"/>
      <c r="J65" s="36"/>
      <c r="K65" s="37"/>
      <c r="L65" s="22">
        <v>4</v>
      </c>
      <c r="M65" s="22">
        <v>4</v>
      </c>
      <c r="N65" s="84"/>
      <c r="O65" s="84"/>
      <c r="P65" s="20" t="s">
        <v>51</v>
      </c>
    </row>
    <row r="66" spans="1:16">
      <c r="A66" s="14"/>
      <c r="B66" s="80"/>
      <c r="C66" s="78"/>
      <c r="D66" s="5" t="s">
        <v>49</v>
      </c>
      <c r="E66" s="5" t="s">
        <v>111</v>
      </c>
      <c r="F66" s="5">
        <v>5</v>
      </c>
      <c r="G66" s="5">
        <v>4</v>
      </c>
      <c r="H66" s="36"/>
      <c r="I66" s="37"/>
      <c r="J66" s="36"/>
      <c r="K66" s="37"/>
      <c r="L66" s="22">
        <v>4</v>
      </c>
      <c r="M66" s="22">
        <v>4</v>
      </c>
      <c r="N66" s="84"/>
      <c r="O66" s="84"/>
      <c r="P66" s="20" t="s">
        <v>51</v>
      </c>
    </row>
    <row r="67" spans="1:16">
      <c r="A67" s="14"/>
      <c r="B67" s="80"/>
      <c r="C67" s="78"/>
      <c r="D67" s="5" t="s">
        <v>49</v>
      </c>
      <c r="E67" s="5" t="s">
        <v>112</v>
      </c>
      <c r="F67" s="5">
        <v>5</v>
      </c>
      <c r="G67" s="5">
        <v>4</v>
      </c>
      <c r="H67" s="36"/>
      <c r="I67" s="37"/>
      <c r="J67" s="36"/>
      <c r="K67" s="37"/>
      <c r="L67" s="22">
        <v>4</v>
      </c>
      <c r="M67" s="22">
        <v>4</v>
      </c>
      <c r="N67" s="84"/>
      <c r="O67" s="84"/>
      <c r="P67" s="20" t="s">
        <v>51</v>
      </c>
    </row>
    <row r="68" spans="1:16">
      <c r="A68" s="14"/>
      <c r="B68" s="80"/>
      <c r="C68" s="79"/>
      <c r="D68" s="5" t="s">
        <v>49</v>
      </c>
      <c r="E68" s="5" t="s">
        <v>113</v>
      </c>
      <c r="F68" s="5">
        <v>5</v>
      </c>
      <c r="G68" s="5">
        <v>4</v>
      </c>
      <c r="H68" s="36"/>
      <c r="I68" s="37"/>
      <c r="J68" s="36"/>
      <c r="K68" s="37"/>
      <c r="L68" s="22">
        <v>4</v>
      </c>
      <c r="M68" s="22">
        <v>4</v>
      </c>
      <c r="N68" s="84"/>
      <c r="O68" s="84"/>
      <c r="P68" s="20" t="s">
        <v>51</v>
      </c>
    </row>
    <row r="69" spans="1:16">
      <c r="A69" s="14"/>
      <c r="B69" s="80"/>
      <c r="C69" s="77" t="s">
        <v>114</v>
      </c>
      <c r="D69" s="5" t="s">
        <v>49</v>
      </c>
      <c r="E69" s="5" t="s">
        <v>115</v>
      </c>
      <c r="F69" s="5">
        <v>5</v>
      </c>
      <c r="G69" s="5">
        <v>4</v>
      </c>
      <c r="H69" s="36"/>
      <c r="I69" s="37"/>
      <c r="J69" s="36"/>
      <c r="K69" s="37"/>
      <c r="L69" s="22">
        <v>4</v>
      </c>
      <c r="M69" s="22">
        <v>4</v>
      </c>
      <c r="N69" s="84"/>
      <c r="O69" s="84"/>
      <c r="P69" s="20" t="s">
        <v>51</v>
      </c>
    </row>
    <row r="70" spans="1:16">
      <c r="A70" s="14"/>
      <c r="B70" s="80"/>
      <c r="C70" s="78"/>
      <c r="D70" s="5" t="s">
        <v>49</v>
      </c>
      <c r="E70" s="5" t="s">
        <v>116</v>
      </c>
      <c r="F70" s="5">
        <v>5</v>
      </c>
      <c r="G70" s="5">
        <v>4</v>
      </c>
      <c r="H70" s="36"/>
      <c r="I70" s="37"/>
      <c r="J70" s="36"/>
      <c r="K70" s="37"/>
      <c r="L70" s="22">
        <v>4</v>
      </c>
      <c r="M70" s="22">
        <v>4</v>
      </c>
      <c r="N70" s="84"/>
      <c r="O70" s="84"/>
      <c r="P70" s="20" t="s">
        <v>51</v>
      </c>
    </row>
    <row r="71" spans="1:16">
      <c r="A71" s="14"/>
      <c r="B71" s="80"/>
      <c r="C71" s="78"/>
      <c r="D71" s="5" t="s">
        <v>49</v>
      </c>
      <c r="E71" s="5" t="s">
        <v>117</v>
      </c>
      <c r="F71" s="5">
        <v>5</v>
      </c>
      <c r="G71" s="5">
        <v>4</v>
      </c>
      <c r="H71" s="36"/>
      <c r="I71" s="37"/>
      <c r="J71" s="36"/>
      <c r="K71" s="37"/>
      <c r="L71" s="22">
        <v>4</v>
      </c>
      <c r="M71" s="22">
        <v>4</v>
      </c>
      <c r="N71" s="84"/>
      <c r="O71" s="84"/>
      <c r="P71" s="20" t="s">
        <v>51</v>
      </c>
    </row>
    <row r="72" spans="1:16">
      <c r="A72" s="14"/>
      <c r="B72" s="80"/>
      <c r="C72" s="78"/>
      <c r="D72" s="5" t="s">
        <v>49</v>
      </c>
      <c r="E72" s="5" t="s">
        <v>118</v>
      </c>
      <c r="F72" s="5">
        <v>5</v>
      </c>
      <c r="G72" s="5">
        <v>4</v>
      </c>
      <c r="H72" s="36"/>
      <c r="I72" s="37"/>
      <c r="J72" s="36"/>
      <c r="K72" s="37"/>
      <c r="L72" s="22">
        <v>4</v>
      </c>
      <c r="M72" s="22">
        <v>4</v>
      </c>
      <c r="N72" s="84"/>
      <c r="O72" s="84"/>
      <c r="P72" s="20" t="s">
        <v>51</v>
      </c>
    </row>
    <row r="73" spans="1:16">
      <c r="A73" s="14"/>
      <c r="B73" s="80"/>
      <c r="C73" s="78"/>
      <c r="D73" s="5" t="s">
        <v>49</v>
      </c>
      <c r="E73" s="5" t="s">
        <v>119</v>
      </c>
      <c r="F73" s="5">
        <v>5</v>
      </c>
      <c r="G73" s="5">
        <v>4</v>
      </c>
      <c r="H73" s="36"/>
      <c r="I73" s="37"/>
      <c r="J73" s="36"/>
      <c r="K73" s="37"/>
      <c r="L73" s="22">
        <v>4</v>
      </c>
      <c r="M73" s="22">
        <v>4</v>
      </c>
      <c r="N73" s="84"/>
      <c r="O73" s="84"/>
      <c r="P73" s="20" t="s">
        <v>51</v>
      </c>
    </row>
    <row r="74" spans="1:16">
      <c r="A74" s="14"/>
      <c r="B74" s="80"/>
      <c r="C74" s="78"/>
      <c r="D74" s="5" t="s">
        <v>49</v>
      </c>
      <c r="E74" s="5" t="s">
        <v>120</v>
      </c>
      <c r="F74" s="5">
        <v>5</v>
      </c>
      <c r="G74" s="5">
        <v>4</v>
      </c>
      <c r="H74" s="36"/>
      <c r="I74" s="37"/>
      <c r="J74" s="36"/>
      <c r="K74" s="37"/>
      <c r="L74" s="22">
        <v>4</v>
      </c>
      <c r="M74" s="22">
        <v>4</v>
      </c>
      <c r="N74" s="84"/>
      <c r="O74" s="84"/>
      <c r="P74" s="20" t="s">
        <v>51</v>
      </c>
    </row>
    <row r="75" spans="1:16">
      <c r="A75" s="14"/>
      <c r="B75" s="80"/>
      <c r="C75" s="78"/>
      <c r="D75" s="5" t="s">
        <v>49</v>
      </c>
      <c r="E75" s="5" t="s">
        <v>121</v>
      </c>
      <c r="F75" s="5">
        <v>5</v>
      </c>
      <c r="G75" s="5">
        <v>4</v>
      </c>
      <c r="H75" s="36"/>
      <c r="I75" s="37"/>
      <c r="J75" s="36"/>
      <c r="K75" s="37"/>
      <c r="L75" s="22">
        <v>4</v>
      </c>
      <c r="M75" s="22">
        <v>4</v>
      </c>
      <c r="N75" s="84"/>
      <c r="O75" s="84"/>
      <c r="P75" s="20" t="s">
        <v>51</v>
      </c>
    </row>
    <row r="76" spans="1:16">
      <c r="A76" s="14"/>
      <c r="B76" s="80"/>
      <c r="C76" s="78"/>
      <c r="D76" s="5" t="s">
        <v>49</v>
      </c>
      <c r="E76" s="5" t="s">
        <v>122</v>
      </c>
      <c r="F76" s="5">
        <v>5</v>
      </c>
      <c r="G76" s="5">
        <v>4</v>
      </c>
      <c r="H76" s="36"/>
      <c r="I76" s="37"/>
      <c r="J76" s="36"/>
      <c r="K76" s="37"/>
      <c r="L76" s="22">
        <v>4</v>
      </c>
      <c r="M76" s="22">
        <v>4</v>
      </c>
      <c r="N76" s="84"/>
      <c r="O76" s="84"/>
      <c r="P76" s="20" t="s">
        <v>51</v>
      </c>
    </row>
    <row r="77" spans="1:16">
      <c r="A77" s="14"/>
      <c r="B77" s="80"/>
      <c r="C77" s="78"/>
      <c r="D77" s="5" t="s">
        <v>49</v>
      </c>
      <c r="E77" s="5" t="s">
        <v>123</v>
      </c>
      <c r="F77" s="5">
        <v>5</v>
      </c>
      <c r="G77" s="5">
        <v>4</v>
      </c>
      <c r="H77" s="36"/>
      <c r="I77" s="37"/>
      <c r="J77" s="36"/>
      <c r="K77" s="37"/>
      <c r="L77" s="22">
        <v>4</v>
      </c>
      <c r="M77" s="22">
        <v>4</v>
      </c>
      <c r="N77" s="84"/>
      <c r="O77" s="84"/>
      <c r="P77" s="20" t="s">
        <v>51</v>
      </c>
    </row>
    <row r="78" spans="1:16">
      <c r="A78" s="14"/>
      <c r="B78" s="80"/>
      <c r="C78" s="79"/>
      <c r="D78" s="5" t="s">
        <v>90</v>
      </c>
      <c r="E78" s="5" t="s">
        <v>124</v>
      </c>
      <c r="F78" s="5">
        <v>5</v>
      </c>
      <c r="G78" s="5">
        <v>4</v>
      </c>
      <c r="H78" s="36"/>
      <c r="I78" s="37"/>
      <c r="J78" s="36"/>
      <c r="K78" s="37"/>
      <c r="L78" s="22">
        <v>4</v>
      </c>
      <c r="M78" s="22">
        <v>4</v>
      </c>
      <c r="N78" s="84"/>
      <c r="O78" s="84"/>
      <c r="P78" s="20" t="s">
        <v>51</v>
      </c>
    </row>
    <row r="79" spans="1:16" ht="17.25" thickBot="1">
      <c r="A79" s="14"/>
      <c r="B79" s="81"/>
      <c r="C79" s="5" t="s">
        <v>125</v>
      </c>
      <c r="D79" s="5" t="s">
        <v>49</v>
      </c>
      <c r="E79" s="5" t="s">
        <v>126</v>
      </c>
      <c r="F79" s="5">
        <v>5</v>
      </c>
      <c r="G79" s="5">
        <v>4</v>
      </c>
      <c r="H79" s="36"/>
      <c r="I79" s="37"/>
      <c r="J79" s="36"/>
      <c r="K79" s="37"/>
      <c r="L79" s="21">
        <v>4</v>
      </c>
      <c r="M79" s="21">
        <v>4</v>
      </c>
      <c r="N79" s="84"/>
      <c r="O79" s="84"/>
      <c r="P79" s="20" t="s">
        <v>51</v>
      </c>
    </row>
    <row r="80" spans="1:16">
      <c r="A80" s="14"/>
      <c r="B80" s="80"/>
      <c r="C80" s="77" t="s">
        <v>127</v>
      </c>
      <c r="D80" s="5" t="s">
        <v>24</v>
      </c>
      <c r="E80" s="5" t="s">
        <v>128</v>
      </c>
      <c r="F80" s="5">
        <v>5</v>
      </c>
      <c r="G80" s="5">
        <v>4</v>
      </c>
      <c r="H80" s="36"/>
      <c r="I80" s="36"/>
      <c r="J80" s="36"/>
      <c r="K80" s="37"/>
      <c r="L80" s="39">
        <v>2</v>
      </c>
      <c r="M80" s="40">
        <v>2</v>
      </c>
      <c r="N80" s="60">
        <f>SUM(L80:M86)</f>
        <v>28</v>
      </c>
      <c r="O80" s="60">
        <f>N80</f>
        <v>28</v>
      </c>
      <c r="P80" s="41" t="s">
        <v>63</v>
      </c>
    </row>
    <row r="81" spans="1:16">
      <c r="A81" s="14"/>
      <c r="B81" s="80"/>
      <c r="C81" s="78"/>
      <c r="D81" s="5" t="s">
        <v>24</v>
      </c>
      <c r="E81" s="5" t="s">
        <v>129</v>
      </c>
      <c r="F81" s="5">
        <v>5</v>
      </c>
      <c r="G81" s="5">
        <v>4</v>
      </c>
      <c r="H81" s="36"/>
      <c r="I81" s="36"/>
      <c r="J81" s="36"/>
      <c r="K81" s="37"/>
      <c r="L81" s="42">
        <v>2</v>
      </c>
      <c r="M81" s="40">
        <v>2</v>
      </c>
      <c r="N81" s="61"/>
      <c r="O81" s="61"/>
      <c r="P81" s="41" t="s">
        <v>63</v>
      </c>
    </row>
    <row r="82" spans="1:16">
      <c r="A82" s="14"/>
      <c r="B82" s="80"/>
      <c r="C82" s="78"/>
      <c r="D82" s="5" t="s">
        <v>24</v>
      </c>
      <c r="E82" s="5" t="s">
        <v>130</v>
      </c>
      <c r="F82" s="5">
        <v>5</v>
      </c>
      <c r="G82" s="5">
        <v>4</v>
      </c>
      <c r="H82" s="36"/>
      <c r="I82" s="36"/>
      <c r="J82" s="36"/>
      <c r="K82" s="37"/>
      <c r="L82" s="42">
        <v>2</v>
      </c>
      <c r="M82" s="40">
        <v>2</v>
      </c>
      <c r="N82" s="61"/>
      <c r="O82" s="61"/>
      <c r="P82" s="41" t="s">
        <v>63</v>
      </c>
    </row>
    <row r="83" spans="1:16">
      <c r="A83" s="14"/>
      <c r="B83" s="80"/>
      <c r="C83" s="78"/>
      <c r="D83" s="5" t="s">
        <v>24</v>
      </c>
      <c r="E83" s="5" t="s">
        <v>131</v>
      </c>
      <c r="F83" s="5">
        <v>5</v>
      </c>
      <c r="G83" s="5">
        <v>4</v>
      </c>
      <c r="H83" s="36"/>
      <c r="I83" s="36"/>
      <c r="J83" s="36"/>
      <c r="K83" s="37"/>
      <c r="L83" s="42">
        <v>2</v>
      </c>
      <c r="M83" s="40">
        <v>2</v>
      </c>
      <c r="N83" s="61"/>
      <c r="O83" s="61"/>
      <c r="P83" s="41" t="s">
        <v>63</v>
      </c>
    </row>
    <row r="84" spans="1:16">
      <c r="A84" s="14"/>
      <c r="B84" s="80"/>
      <c r="C84" s="78"/>
      <c r="D84" s="5" t="s">
        <v>24</v>
      </c>
      <c r="E84" s="5" t="s">
        <v>132</v>
      </c>
      <c r="F84" s="5">
        <v>5</v>
      </c>
      <c r="G84" s="5">
        <v>4</v>
      </c>
      <c r="H84" s="36"/>
      <c r="I84" s="36"/>
      <c r="J84" s="36"/>
      <c r="K84" s="37"/>
      <c r="L84" s="42">
        <v>2</v>
      </c>
      <c r="M84" s="40">
        <v>2</v>
      </c>
      <c r="N84" s="61"/>
      <c r="O84" s="61"/>
      <c r="P84" s="41" t="s">
        <v>63</v>
      </c>
    </row>
    <row r="85" spans="1:16">
      <c r="A85" s="14"/>
      <c r="B85" s="80"/>
      <c r="C85" s="78"/>
      <c r="D85" s="5" t="s">
        <v>24</v>
      </c>
      <c r="E85" s="5" t="s">
        <v>133</v>
      </c>
      <c r="F85" s="5">
        <v>5</v>
      </c>
      <c r="G85" s="5">
        <v>4</v>
      </c>
      <c r="H85" s="36"/>
      <c r="I85" s="36"/>
      <c r="J85" s="36"/>
      <c r="K85" s="37"/>
      <c r="L85" s="42">
        <v>2</v>
      </c>
      <c r="M85" s="40">
        <v>2</v>
      </c>
      <c r="N85" s="61"/>
      <c r="O85" s="61"/>
      <c r="P85" s="41" t="s">
        <v>63</v>
      </c>
    </row>
    <row r="86" spans="1:16" ht="17.25" thickBot="1">
      <c r="A86" s="14"/>
      <c r="B86" s="81"/>
      <c r="C86" s="78"/>
      <c r="D86" s="5" t="s">
        <v>24</v>
      </c>
      <c r="E86" s="5" t="s">
        <v>134</v>
      </c>
      <c r="F86" s="5">
        <v>5</v>
      </c>
      <c r="G86" s="5">
        <v>4</v>
      </c>
      <c r="H86" s="36"/>
      <c r="I86" s="36"/>
      <c r="J86" s="36"/>
      <c r="K86" s="37"/>
      <c r="L86" s="43">
        <v>2</v>
      </c>
      <c r="M86" s="44">
        <v>2</v>
      </c>
      <c r="N86" s="62"/>
      <c r="O86" s="62"/>
      <c r="P86" s="41" t="s">
        <v>63</v>
      </c>
    </row>
    <row r="87" spans="1:16">
      <c r="A87" s="63"/>
      <c r="B87" s="65" t="s">
        <v>135</v>
      </c>
      <c r="C87" s="66"/>
      <c r="D87" s="15"/>
      <c r="E87" s="15"/>
      <c r="F87" s="15"/>
      <c r="G87" s="15"/>
      <c r="H87" s="15"/>
      <c r="I87" s="15"/>
      <c r="J87" s="15"/>
      <c r="K87" s="15"/>
      <c r="L87" s="27"/>
      <c r="M87" s="27"/>
      <c r="N87" s="45"/>
      <c r="O87" s="27"/>
      <c r="P87" s="20"/>
    </row>
    <row r="88" spans="1:16">
      <c r="A88" s="63"/>
      <c r="B88" s="67"/>
      <c r="C88" s="6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46"/>
      <c r="O88" s="15"/>
      <c r="P88" s="20"/>
    </row>
    <row r="89" spans="1:16">
      <c r="A89" s="63"/>
      <c r="B89" s="67"/>
      <c r="C89" s="6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46"/>
      <c r="O89" s="15"/>
      <c r="P89" s="20"/>
    </row>
    <row r="90" spans="1:16">
      <c r="A90" s="63"/>
      <c r="B90" s="67"/>
      <c r="C90" s="6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46"/>
      <c r="O90" s="15"/>
      <c r="P90" s="20"/>
    </row>
    <row r="91" spans="1:16" ht="17.25" thickBot="1">
      <c r="A91" s="64"/>
      <c r="B91" s="69"/>
      <c r="C91" s="70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8"/>
      <c r="O91" s="47"/>
      <c r="P91" s="20"/>
    </row>
    <row r="92" spans="1:16" ht="17.25" thickBot="1">
      <c r="A92" s="55" t="s">
        <v>136</v>
      </c>
      <c r="B92" s="56"/>
      <c r="C92" s="56"/>
      <c r="D92" s="56"/>
      <c r="E92" s="57"/>
      <c r="F92" s="11"/>
      <c r="G92" s="11"/>
      <c r="H92" s="12">
        <f t="shared" ref="H92:M92" si="1">SUM(H28:H86)</f>
        <v>0</v>
      </c>
      <c r="I92" s="12">
        <f t="shared" si="1"/>
        <v>0</v>
      </c>
      <c r="J92" s="12">
        <f t="shared" si="1"/>
        <v>68</v>
      </c>
      <c r="K92" s="12">
        <f t="shared" si="1"/>
        <v>68</v>
      </c>
      <c r="L92" s="12">
        <f t="shared" si="1"/>
        <v>150</v>
      </c>
      <c r="M92" s="12">
        <f t="shared" si="1"/>
        <v>150</v>
      </c>
      <c r="N92" s="11"/>
      <c r="O92" s="12">
        <f>SUM(H92:M92)</f>
        <v>436</v>
      </c>
      <c r="P92" s="13"/>
    </row>
    <row r="93" spans="1:16">
      <c r="A93" s="71" t="s">
        <v>137</v>
      </c>
      <c r="B93" s="72"/>
      <c r="C93" s="72"/>
      <c r="D93" s="72"/>
      <c r="E93" s="73"/>
      <c r="F93" s="49"/>
      <c r="G93" s="49"/>
      <c r="H93" s="50">
        <f t="shared" ref="H93:M93" si="2">SUM(H27,H92)</f>
        <v>29</v>
      </c>
      <c r="I93" s="50">
        <f t="shared" si="2"/>
        <v>29</v>
      </c>
      <c r="J93" s="50">
        <f t="shared" si="2"/>
        <v>83</v>
      </c>
      <c r="K93" s="50">
        <f t="shared" si="2"/>
        <v>83</v>
      </c>
      <c r="L93" s="50">
        <f t="shared" si="2"/>
        <v>153</v>
      </c>
      <c r="M93" s="50">
        <f t="shared" si="2"/>
        <v>153</v>
      </c>
      <c r="N93" s="49"/>
      <c r="O93" s="50">
        <f>SUM(H93:M93)</f>
        <v>530</v>
      </c>
      <c r="P93" s="51"/>
    </row>
    <row r="94" spans="1:16" ht="17.25" thickBot="1">
      <c r="A94" s="74" t="s">
        <v>138</v>
      </c>
      <c r="B94" s="75"/>
      <c r="C94" s="75"/>
      <c r="D94" s="75"/>
      <c r="E94" s="76"/>
      <c r="F94" s="52"/>
      <c r="G94" s="52"/>
      <c r="H94" s="53">
        <v>3</v>
      </c>
      <c r="I94" s="53">
        <v>3</v>
      </c>
      <c r="J94" s="53">
        <v>3</v>
      </c>
      <c r="K94" s="53">
        <v>3</v>
      </c>
      <c r="L94" s="53">
        <v>3</v>
      </c>
      <c r="M94" s="53">
        <v>3</v>
      </c>
      <c r="N94" s="52"/>
      <c r="O94" s="53">
        <f>SUM(H94:M94)</f>
        <v>18</v>
      </c>
      <c r="P94" s="54"/>
    </row>
    <row r="95" spans="1:16" ht="17.25" thickBot="1">
      <c r="A95" s="55" t="s">
        <v>139</v>
      </c>
      <c r="B95" s="56"/>
      <c r="C95" s="56"/>
      <c r="D95" s="56"/>
      <c r="E95" s="57"/>
      <c r="F95" s="52"/>
      <c r="G95" s="52"/>
      <c r="H95" s="53">
        <f t="shared" ref="H95:M95" si="3">SUM(H93:H94)</f>
        <v>32</v>
      </c>
      <c r="I95" s="53">
        <f t="shared" si="3"/>
        <v>32</v>
      </c>
      <c r="J95" s="53">
        <f t="shared" si="3"/>
        <v>86</v>
      </c>
      <c r="K95" s="53">
        <f t="shared" si="3"/>
        <v>86</v>
      </c>
      <c r="L95" s="53">
        <f t="shared" si="3"/>
        <v>156</v>
      </c>
      <c r="M95" s="53">
        <f t="shared" si="3"/>
        <v>156</v>
      </c>
      <c r="N95" s="58">
        <f>SUM(H95:M95)</f>
        <v>548</v>
      </c>
      <c r="O95" s="59"/>
      <c r="P95" s="54"/>
    </row>
  </sheetData>
  <mergeCells count="64">
    <mergeCell ref="A1:P1"/>
    <mergeCell ref="A2:P2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M3"/>
    <mergeCell ref="N3:O3"/>
    <mergeCell ref="P3:P4"/>
    <mergeCell ref="A5:A26"/>
    <mergeCell ref="B5:B14"/>
    <mergeCell ref="C5:C7"/>
    <mergeCell ref="N5:N7"/>
    <mergeCell ref="O5:O14"/>
    <mergeCell ref="C8:C10"/>
    <mergeCell ref="N8:N10"/>
    <mergeCell ref="C11:C13"/>
    <mergeCell ref="N11:N13"/>
    <mergeCell ref="B15:B17"/>
    <mergeCell ref="O15:O17"/>
    <mergeCell ref="C16:C17"/>
    <mergeCell ref="N16:N17"/>
    <mergeCell ref="B18:B23"/>
    <mergeCell ref="C18:C20"/>
    <mergeCell ref="N18:N20"/>
    <mergeCell ref="O18:O20"/>
    <mergeCell ref="C21:C23"/>
    <mergeCell ref="O21:O23"/>
    <mergeCell ref="N46:N79"/>
    <mergeCell ref="O46:O79"/>
    <mergeCell ref="C51:C56"/>
    <mergeCell ref="B24:B26"/>
    <mergeCell ref="O24:O26"/>
    <mergeCell ref="A27:E27"/>
    <mergeCell ref="B28:B29"/>
    <mergeCell ref="C28:C29"/>
    <mergeCell ref="N28:N29"/>
    <mergeCell ref="O28:O29"/>
    <mergeCell ref="B30:B45"/>
    <mergeCell ref="N30:N45"/>
    <mergeCell ref="O30:O45"/>
    <mergeCell ref="C33:C39"/>
    <mergeCell ref="C40:C44"/>
    <mergeCell ref="C57:C60"/>
    <mergeCell ref="C61:C68"/>
    <mergeCell ref="C69:C78"/>
    <mergeCell ref="B80:B86"/>
    <mergeCell ref="C80:C86"/>
    <mergeCell ref="B46:B79"/>
    <mergeCell ref="C46:C50"/>
    <mergeCell ref="A95:E95"/>
    <mergeCell ref="N95:O95"/>
    <mergeCell ref="O80:O86"/>
    <mergeCell ref="A87:A91"/>
    <mergeCell ref="B87:C91"/>
    <mergeCell ref="A92:E92"/>
    <mergeCell ref="A93:E93"/>
    <mergeCell ref="A94:E94"/>
    <mergeCell ref="N80:N86"/>
  </mergeCells>
  <phoneticPr fontId="4" type="noConversion"/>
  <dataValidations count="2">
    <dataValidation type="list" allowBlank="1" showInputMessage="1" showErrorMessage="1" sqref="P5:P26 P28:P91" xr:uid="{EA650AEE-032B-46E4-8587-CF814F2639B2}">
      <formula1>"성취도 5단계+석차등급O, 성취도 5단계+석차등급X, 성취도 3단계+성취도별 분포비율, 성취도 3단계, 이수/미이수"</formula1>
    </dataValidation>
    <dataValidation type="list" allowBlank="1" showInputMessage="1" showErrorMessage="1" sqref="D5:D26 D28:D91" xr:uid="{C3F6119C-8C51-4F13-BD9C-D825CA9914A0}">
      <formula1>"공통, 일반, 진로, 전문"</formula1>
    </dataValidation>
  </dataValidations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 입학생 3개년 교육과정(3학년)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류민제</dc:creator>
  <cp:lastModifiedBy>류민제</cp:lastModifiedBy>
  <dcterms:created xsi:type="dcterms:W3CDTF">2026-06-25T12:36:40Z</dcterms:created>
  <dcterms:modified xsi:type="dcterms:W3CDTF">2026-06-25T13:45:36Z</dcterms:modified>
</cp:coreProperties>
</file>