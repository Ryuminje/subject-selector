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ne049-my.sharepoint.com/personal/fbalswp_myungshin-h_gne_go_kr/Documents/2026. 교육과정부/2026학년도 학교교육과정 편성표/"/>
    </mc:Choice>
  </mc:AlternateContent>
  <xr:revisionPtr revIDLastSave="0" documentId="8_{515BB4F6-852F-499C-AC09-4B0EAF324C5A}" xr6:coauthVersionLast="47" xr6:coauthVersionMax="47" xr10:uidLastSave="{00000000-0000-0000-0000-000000000000}"/>
  <bookViews>
    <workbookView xWindow="1950" yWindow="1950" windowWidth="15855" windowHeight="11295" xr2:uid="{1D46D671-D183-42FA-8CF2-3208FB50DD2F}"/>
  </bookViews>
  <sheets>
    <sheet name="2025 입학생 3개년 교육과정(2학년)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07" i="1" l="1"/>
  <c r="L106" i="1"/>
  <c r="L108" i="1" s="1"/>
  <c r="K106" i="1"/>
  <c r="K108" i="1" s="1"/>
  <c r="J106" i="1"/>
  <c r="J108" i="1" s="1"/>
  <c r="H105" i="1"/>
  <c r="G105" i="1"/>
  <c r="M105" i="1" s="1"/>
  <c r="O104" i="1"/>
  <c r="O103" i="1"/>
  <c r="O102" i="1"/>
  <c r="O101" i="1"/>
  <c r="O100" i="1"/>
  <c r="O99" i="1"/>
  <c r="O98" i="1"/>
  <c r="O95" i="1"/>
  <c r="O93" i="1"/>
  <c r="O92" i="1"/>
  <c r="O91" i="1"/>
  <c r="O90" i="1"/>
  <c r="O87" i="1"/>
  <c r="O86" i="1"/>
  <c r="O85" i="1"/>
  <c r="O84" i="1"/>
  <c r="O83" i="1"/>
  <c r="O82" i="1"/>
  <c r="O81" i="1"/>
  <c r="O80" i="1"/>
  <c r="O79" i="1"/>
  <c r="O77" i="1"/>
  <c r="O73" i="1"/>
  <c r="O72" i="1"/>
  <c r="O71" i="1"/>
  <c r="O57" i="1"/>
  <c r="O56" i="1"/>
  <c r="O55" i="1"/>
  <c r="O54" i="1"/>
  <c r="O53" i="1"/>
  <c r="O52" i="1"/>
  <c r="O51" i="1"/>
  <c r="O47" i="1"/>
  <c r="E47" i="1"/>
  <c r="C47" i="1"/>
  <c r="O46" i="1"/>
  <c r="E46" i="1"/>
  <c r="C46" i="1"/>
  <c r="O45" i="1"/>
  <c r="E45" i="1"/>
  <c r="O44" i="1"/>
  <c r="M44" i="1"/>
  <c r="E44" i="1"/>
  <c r="L43" i="1"/>
  <c r="K43" i="1"/>
  <c r="J43" i="1"/>
  <c r="I43" i="1"/>
  <c r="I106" i="1" s="1"/>
  <c r="I108" i="1" s="1"/>
  <c r="H43" i="1"/>
  <c r="H106" i="1" s="1"/>
  <c r="H108" i="1" s="1"/>
  <c r="G43" i="1"/>
  <c r="M43" i="1" s="1"/>
  <c r="O42" i="1"/>
  <c r="M38" i="1"/>
  <c r="O37" i="1"/>
  <c r="M34" i="1"/>
  <c r="O31" i="1"/>
  <c r="O30" i="1"/>
  <c r="O29" i="1"/>
  <c r="O28" i="1"/>
  <c r="M28" i="1"/>
  <c r="O27" i="1"/>
  <c r="E27" i="1"/>
  <c r="C27" i="1"/>
  <c r="O26" i="1"/>
  <c r="E26" i="1"/>
  <c r="C26" i="1"/>
  <c r="O25" i="1"/>
  <c r="E25" i="1"/>
  <c r="C25" i="1"/>
  <c r="O24" i="1"/>
  <c r="M24" i="1"/>
  <c r="E24" i="1"/>
  <c r="C24" i="1"/>
  <c r="O23" i="1"/>
  <c r="E23" i="1"/>
  <c r="C23" i="1"/>
  <c r="O22" i="1"/>
  <c r="M22" i="1"/>
  <c r="E22" i="1"/>
  <c r="C22" i="1"/>
  <c r="O21" i="1"/>
  <c r="E21" i="1"/>
  <c r="C21" i="1"/>
  <c r="O20" i="1"/>
  <c r="M20" i="1"/>
  <c r="E20" i="1"/>
  <c r="C20" i="1"/>
  <c r="O19" i="1"/>
  <c r="O16" i="1"/>
  <c r="E16" i="1"/>
  <c r="C16" i="1"/>
  <c r="O15" i="1"/>
  <c r="M15" i="1"/>
  <c r="E15" i="1"/>
  <c r="C15" i="1"/>
  <c r="O14" i="1"/>
  <c r="O12" i="1"/>
  <c r="O11" i="1"/>
  <c r="E11" i="1"/>
  <c r="C11" i="1"/>
  <c r="O10" i="1"/>
  <c r="M10" i="1"/>
  <c r="E10" i="1"/>
  <c r="C10" i="1"/>
  <c r="O9" i="1"/>
  <c r="O7" i="1"/>
  <c r="O6" i="1"/>
  <c r="E6" i="1"/>
  <c r="C6" i="1"/>
  <c r="O5" i="1"/>
  <c r="M5" i="1"/>
  <c r="N5" i="1" s="1"/>
  <c r="E5" i="1"/>
  <c r="C5" i="1"/>
  <c r="G106" i="1" l="1"/>
  <c r="M106" i="1" l="1"/>
  <c r="G108" i="1"/>
  <c r="M10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3" authorId="0" shapeId="0" xr:uid="{49109958-7B2F-4FFA-ADF3-54C6CE20925F}">
      <text>
        <r>
          <rPr>
            <b/>
            <sz val="9"/>
            <color indexed="81"/>
            <rFont val="Tahoma"/>
            <family val="2"/>
          </rPr>
          <t xml:space="preserve">user: </t>
        </r>
        <r>
          <rPr>
            <b/>
            <sz val="9"/>
            <color indexed="81"/>
            <rFont val="돋움"/>
            <family val="3"/>
            <charset val="129"/>
          </rPr>
          <t>과목명부터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먼저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바랍니다</t>
        </r>
        <r>
          <rPr>
            <b/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※과목명을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과목유형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기본학점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성적처리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유형이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입력됨</t>
        </r>
      </text>
    </comment>
    <comment ref="B44" authorId="0" shapeId="0" xr:uid="{68D20E8E-6898-43B0-9155-91897D13AEE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선택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교과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군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그룹으로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묶어진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과목들이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있다면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그룹으로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표시하고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교과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군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: </t>
        </r>
        <r>
          <rPr>
            <sz val="9"/>
            <color indexed="81"/>
            <rFont val="돋움"/>
            <family val="3"/>
            <charset val="129"/>
          </rPr>
          <t>국어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수학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영어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사회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과학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체육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예술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기술</t>
        </r>
        <r>
          <rPr>
            <sz val="9"/>
            <color indexed="81"/>
            <rFont val="Tahoma"/>
            <family val="2"/>
          </rPr>
          <t>·</t>
        </r>
        <r>
          <rPr>
            <sz val="9"/>
            <color indexed="81"/>
            <rFont val="돋움"/>
            <family val="3"/>
            <charset val="129"/>
          </rPr>
          <t>가정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정보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제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돋움"/>
            <family val="3"/>
            <charset val="129"/>
          </rPr>
          <t>외국어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한문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교양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택</t>
        </r>
        <r>
          <rPr>
            <sz val="9"/>
            <color indexed="81"/>
            <rFont val="Tahoma"/>
            <family val="2"/>
          </rPr>
          <t>1</t>
        </r>
      </text>
    </comment>
  </commentList>
</comments>
</file>

<file path=xl/sharedStrings.xml><?xml version="1.0" encoding="utf-8"?>
<sst xmlns="http://schemas.openxmlformats.org/spreadsheetml/2006/main" count="280" uniqueCount="155">
  <si>
    <t>2025학년도 입학생 3개년 교육과정 편성표(2학년)</t>
    <phoneticPr fontId="4" type="noConversion"/>
  </si>
  <si>
    <r>
      <t>명신고등학교</t>
    </r>
    <r>
      <rPr>
        <b/>
        <sz val="12"/>
        <color rgb="FFFF0000"/>
        <rFont val="Malgun Gothic"/>
        <family val="3"/>
        <charset val="129"/>
      </rPr>
      <t>(공립)</t>
    </r>
    <phoneticPr fontId="4" type="noConversion"/>
  </si>
  <si>
    <t>구
분</t>
  </si>
  <si>
    <t>교과(군)</t>
  </si>
  <si>
    <t>과목
유형</t>
  </si>
  <si>
    <t>과목</t>
  </si>
  <si>
    <t>기본
학점</t>
  </si>
  <si>
    <t>운영
학점</t>
  </si>
  <si>
    <t>1학년</t>
  </si>
  <si>
    <t>2학년</t>
  </si>
  <si>
    <t>3학년</t>
  </si>
  <si>
    <t>편성학점 합</t>
  </si>
  <si>
    <t>성적처리 유형</t>
  </si>
  <si>
    <t>1학기</t>
  </si>
  <si>
    <t>2학기</t>
  </si>
  <si>
    <t>선택군</t>
  </si>
  <si>
    <t>학
교
지
정
과
목</t>
  </si>
  <si>
    <t>국어</t>
  </si>
  <si>
    <t>공통국어1</t>
    <phoneticPr fontId="4" type="noConversion"/>
  </si>
  <si>
    <t>공통국어2</t>
    <phoneticPr fontId="4" type="noConversion"/>
  </si>
  <si>
    <t>일반</t>
  </si>
  <si>
    <t>문학</t>
    <phoneticPr fontId="11" type="noConversion"/>
  </si>
  <si>
    <t>화법과 언어</t>
    <phoneticPr fontId="11" type="noConversion"/>
  </si>
  <si>
    <t>성취도 5단계+석차등급O</t>
  </si>
  <si>
    <t>독서와 작문</t>
    <phoneticPr fontId="11" type="noConversion"/>
  </si>
  <si>
    <t>수학</t>
  </si>
  <si>
    <t>공통수학1</t>
  </si>
  <si>
    <t>공통수학2</t>
  </si>
  <si>
    <t>대수</t>
    <phoneticPr fontId="11" type="noConversion"/>
  </si>
  <si>
    <t>미적분Ⅰ</t>
    <phoneticPr fontId="11" type="noConversion"/>
  </si>
  <si>
    <t>확률과 통계</t>
    <phoneticPr fontId="11" type="noConversion"/>
  </si>
  <si>
    <t>영어</t>
  </si>
  <si>
    <t>공통영어1</t>
  </si>
  <si>
    <t>공통영어2</t>
  </si>
  <si>
    <t>영어Ⅰ</t>
    <phoneticPr fontId="11" type="noConversion"/>
  </si>
  <si>
    <t>영어Ⅱ</t>
    <phoneticPr fontId="11" type="noConversion"/>
  </si>
  <si>
    <t>영어 독해와 작문</t>
    <phoneticPr fontId="11" type="noConversion"/>
  </si>
  <si>
    <t>사회</t>
    <phoneticPr fontId="4" type="noConversion"/>
  </si>
  <si>
    <t>한국사1</t>
  </si>
  <si>
    <t>한국사2</t>
  </si>
  <si>
    <t>통합사회1</t>
  </si>
  <si>
    <t>통합사회2</t>
  </si>
  <si>
    <t>과학</t>
    <phoneticPr fontId="4" type="noConversion"/>
  </si>
  <si>
    <t>통합과학1</t>
  </si>
  <si>
    <t>통합과학2</t>
  </si>
  <si>
    <t>과학탐구실험1</t>
  </si>
  <si>
    <t>과학탐구실험2</t>
  </si>
  <si>
    <t>체육</t>
    <phoneticPr fontId="4" type="noConversion"/>
  </si>
  <si>
    <t>체육1</t>
    <phoneticPr fontId="11" type="noConversion"/>
  </si>
  <si>
    <t>체육2</t>
    <phoneticPr fontId="11" type="noConversion"/>
  </si>
  <si>
    <t>진로</t>
  </si>
  <si>
    <t>스포츠 문화</t>
    <phoneticPr fontId="11" type="noConversion"/>
  </si>
  <si>
    <t>스포츠 과학</t>
    <phoneticPr fontId="11" type="noConversion"/>
  </si>
  <si>
    <t>융합</t>
  </si>
  <si>
    <r>
      <rPr>
        <sz val="11"/>
        <color theme="1"/>
        <rFont val="맑은 고딕"/>
        <family val="3"/>
        <charset val="129"/>
        <scheme val="minor"/>
      </rPr>
      <t>스포츠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생활</t>
    </r>
    <r>
      <rPr>
        <sz val="11"/>
        <color theme="1"/>
        <rFont val="맑은 고딕"/>
        <family val="2"/>
        <scheme val="minor"/>
      </rPr>
      <t>1</t>
    </r>
    <phoneticPr fontId="11" type="noConversion"/>
  </si>
  <si>
    <t>성취도 3단계</t>
  </si>
  <si>
    <r>
      <rPr>
        <sz val="11"/>
        <color theme="1"/>
        <rFont val="맑은 고딕"/>
        <family val="3"/>
        <charset val="129"/>
        <scheme val="minor"/>
      </rPr>
      <t>스포츠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생활</t>
    </r>
    <r>
      <rPr>
        <sz val="11"/>
        <color theme="1"/>
        <rFont val="맑은 고딕"/>
        <family val="2"/>
        <scheme val="minor"/>
      </rPr>
      <t>2</t>
    </r>
    <phoneticPr fontId="11" type="noConversion"/>
  </si>
  <si>
    <t>예술</t>
    <phoneticPr fontId="4" type="noConversion"/>
  </si>
  <si>
    <t>음악↔미술</t>
    <phoneticPr fontId="11" type="noConversion"/>
  </si>
  <si>
    <t>미술 창작</t>
    <phoneticPr fontId="11" type="noConversion"/>
  </si>
  <si>
    <t>미술 감상과 비평</t>
    <phoneticPr fontId="11" type="noConversion"/>
  </si>
  <si>
    <t>정보</t>
  </si>
  <si>
    <t>한문↔정보</t>
    <phoneticPr fontId="11" type="noConversion"/>
  </si>
  <si>
    <t>한문</t>
  </si>
  <si>
    <t>교양</t>
  </si>
  <si>
    <r>
      <rPr>
        <sz val="11"/>
        <color theme="1"/>
        <rFont val="맑은 고딕"/>
        <family val="3"/>
        <charset val="129"/>
        <scheme val="minor"/>
      </rPr>
      <t>진로와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직업↔생태와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환경</t>
    </r>
    <phoneticPr fontId="11" type="noConversion"/>
  </si>
  <si>
    <t>이수/미이수</t>
  </si>
  <si>
    <t>논술</t>
    <phoneticPr fontId="11" type="noConversion"/>
  </si>
  <si>
    <t>학교 지정 과목 교과 이수 학점 소계</t>
  </si>
  <si>
    <t>선택군A</t>
  </si>
  <si>
    <t>제2외국어</t>
  </si>
  <si>
    <t>일본어</t>
    <phoneticPr fontId="11" type="noConversion"/>
  </si>
  <si>
    <t>중국어</t>
    <phoneticPr fontId="11" type="noConversion"/>
  </si>
  <si>
    <r>
      <rPr>
        <sz val="11"/>
        <rFont val="돋움"/>
        <family val="3"/>
        <charset val="129"/>
      </rPr>
      <t>선택군</t>
    </r>
    <r>
      <rPr>
        <sz val="11"/>
        <rFont val="Calibri"/>
        <family val="2"/>
      </rPr>
      <t>B</t>
    </r>
    <phoneticPr fontId="4" type="noConversion"/>
  </si>
  <si>
    <t>일본어 회화</t>
    <phoneticPr fontId="11" type="noConversion"/>
  </si>
  <si>
    <t>중국어 회화</t>
    <phoneticPr fontId="11" type="noConversion"/>
  </si>
  <si>
    <t>선택군C</t>
    <phoneticPr fontId="4" type="noConversion"/>
  </si>
  <si>
    <t>국어</t>
    <phoneticPr fontId="4" type="noConversion"/>
  </si>
  <si>
    <t>독서 토론과 글쓰기</t>
    <phoneticPr fontId="4" type="noConversion"/>
  </si>
  <si>
    <t>수학</t>
    <phoneticPr fontId="11" type="noConversion"/>
  </si>
  <si>
    <t>진로</t>
    <phoneticPr fontId="4" type="noConversion"/>
  </si>
  <si>
    <t>인공지능수학</t>
    <phoneticPr fontId="4" type="noConversion"/>
  </si>
  <si>
    <t>영어</t>
    <phoneticPr fontId="4" type="noConversion"/>
  </si>
  <si>
    <t>영미 문학 읽기</t>
    <phoneticPr fontId="11" type="noConversion"/>
  </si>
  <si>
    <t>과학</t>
    <phoneticPr fontId="11" type="noConversion"/>
  </si>
  <si>
    <t>물리학</t>
    <phoneticPr fontId="11" type="noConversion"/>
  </si>
  <si>
    <t>화학</t>
    <phoneticPr fontId="11" type="noConversion"/>
  </si>
  <si>
    <t>생명과학</t>
    <phoneticPr fontId="11" type="noConversion"/>
  </si>
  <si>
    <t>지구과학</t>
    <phoneticPr fontId="11" type="noConversion"/>
  </si>
  <si>
    <r>
      <t xml:space="preserve">사회
</t>
    </r>
    <r>
      <rPr>
        <sz val="11"/>
        <color theme="1"/>
        <rFont val="맑은 고딕"/>
        <family val="3"/>
        <charset val="129"/>
        <scheme val="minor"/>
      </rPr>
      <t>(</t>
    </r>
    <r>
      <rPr>
        <sz val="11"/>
        <color theme="1"/>
        <rFont val="맑은 고딕"/>
        <family val="3"/>
        <charset val="129"/>
        <scheme val="minor"/>
      </rPr>
      <t>역사</t>
    </r>
    <r>
      <rPr>
        <sz val="11"/>
        <color theme="1"/>
        <rFont val="맑은 고딕"/>
        <family val="3"/>
        <charset val="129"/>
        <scheme val="minor"/>
      </rPr>
      <t>/</t>
    </r>
    <r>
      <rPr>
        <sz val="11"/>
        <color theme="1"/>
        <rFont val="맑은 고딕"/>
        <family val="3"/>
        <charset val="129"/>
        <scheme val="minor"/>
      </rPr>
      <t>도덕포함</t>
    </r>
    <r>
      <rPr>
        <sz val="11"/>
        <color theme="1"/>
        <rFont val="맑은 고딕"/>
        <family val="3"/>
        <charset val="129"/>
        <scheme val="minor"/>
      </rPr>
      <t>)</t>
    </r>
    <phoneticPr fontId="4" type="noConversion"/>
  </si>
  <si>
    <t>세계사</t>
    <phoneticPr fontId="11" type="noConversion"/>
  </si>
  <si>
    <t>현대사회와 윤리</t>
    <phoneticPr fontId="11" type="noConversion"/>
  </si>
  <si>
    <t>사회와 문화</t>
    <phoneticPr fontId="11" type="noConversion"/>
  </si>
  <si>
    <t>여행지리</t>
    <phoneticPr fontId="4" type="noConversion"/>
  </si>
  <si>
    <t>성취도 5단계+석차등급X</t>
  </si>
  <si>
    <t>한문</t>
    <phoneticPr fontId="4" type="noConversion"/>
  </si>
  <si>
    <t>언어생활과 한자</t>
    <phoneticPr fontId="4" type="noConversion"/>
  </si>
  <si>
    <t>체육</t>
    <phoneticPr fontId="11" type="noConversion"/>
  </si>
  <si>
    <t>기초 체육 전공 실기</t>
    <phoneticPr fontId="11" type="noConversion"/>
  </si>
  <si>
    <t>매체의사소통</t>
    <phoneticPr fontId="4" type="noConversion"/>
  </si>
  <si>
    <t>수학</t>
    <phoneticPr fontId="4" type="noConversion"/>
  </si>
  <si>
    <t>기하</t>
    <phoneticPr fontId="4" type="noConversion"/>
  </si>
  <si>
    <t>미디어영어</t>
    <phoneticPr fontId="4" type="noConversion"/>
  </si>
  <si>
    <t>사회
(역사/도덕포함)</t>
    <phoneticPr fontId="4" type="noConversion"/>
  </si>
  <si>
    <r>
      <rPr>
        <sz val="11"/>
        <color theme="1"/>
        <rFont val="맑은 고딕"/>
        <family val="3"/>
        <charset val="129"/>
        <scheme val="minor"/>
      </rPr>
      <t>세계시민과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지리</t>
    </r>
    <phoneticPr fontId="4" type="noConversion"/>
  </si>
  <si>
    <t>윤리와 사상</t>
    <phoneticPr fontId="4" type="noConversion"/>
  </si>
  <si>
    <r>
      <t>경제</t>
    </r>
    <r>
      <rPr>
        <sz val="11"/>
        <color theme="1"/>
        <rFont val="맑은 고딕"/>
        <family val="3"/>
        <charset val="129"/>
        <scheme val="minor"/>
      </rPr>
      <t xml:space="preserve"> </t>
    </r>
    <phoneticPr fontId="11" type="noConversion"/>
  </si>
  <si>
    <t>역학과 에너지</t>
    <phoneticPr fontId="11" type="noConversion"/>
  </si>
  <si>
    <t>물질과 에너지</t>
    <phoneticPr fontId="4" type="noConversion"/>
  </si>
  <si>
    <t>세포와 물질대사</t>
    <phoneticPr fontId="4" type="noConversion"/>
  </si>
  <si>
    <t>지구시스템과학</t>
    <phoneticPr fontId="11" type="noConversion"/>
  </si>
  <si>
    <r>
      <t>선택군</t>
    </r>
    <r>
      <rPr>
        <sz val="11"/>
        <color theme="1"/>
        <rFont val="맑은 고딕"/>
        <family val="3"/>
        <charset val="129"/>
        <scheme val="minor"/>
      </rPr>
      <t>D</t>
    </r>
    <phoneticPr fontId="11" type="noConversion"/>
  </si>
  <si>
    <t>국어</t>
    <phoneticPr fontId="11" type="noConversion"/>
  </si>
  <si>
    <t>문학과 영상</t>
    <phoneticPr fontId="11" type="noConversion"/>
  </si>
  <si>
    <t>주제 탐구 독서</t>
    <phoneticPr fontId="11" type="noConversion"/>
  </si>
  <si>
    <t>언어생활 탐구</t>
    <phoneticPr fontId="11" type="noConversion"/>
  </si>
  <si>
    <t>미적분Ⅱ</t>
    <phoneticPr fontId="11" type="noConversion"/>
  </si>
  <si>
    <t>경제수학</t>
    <phoneticPr fontId="4" type="noConversion"/>
  </si>
  <si>
    <t>수학과제 탐구</t>
    <phoneticPr fontId="4" type="noConversion"/>
  </si>
  <si>
    <t>수학과 문화</t>
    <phoneticPr fontId="4" type="noConversion"/>
  </si>
  <si>
    <t>영어</t>
    <phoneticPr fontId="11" type="noConversion"/>
  </si>
  <si>
    <t>심화 영어</t>
    <phoneticPr fontId="11" type="noConversion"/>
  </si>
  <si>
    <t>심화 영어 독해와 작문</t>
    <phoneticPr fontId="11" type="noConversion"/>
  </si>
  <si>
    <t>세계 문화와 영어</t>
    <phoneticPr fontId="11" type="noConversion"/>
  </si>
  <si>
    <r>
      <rPr>
        <sz val="11"/>
        <color theme="1"/>
        <rFont val="맑은 고딕"/>
        <family val="3"/>
        <charset val="129"/>
        <scheme val="minor"/>
      </rPr>
      <t xml:space="preserve">사회
</t>
    </r>
    <r>
      <rPr>
        <sz val="11"/>
        <color theme="1"/>
        <rFont val="맑은 고딕"/>
        <family val="2"/>
        <scheme val="minor"/>
      </rPr>
      <t>(</t>
    </r>
    <r>
      <rPr>
        <sz val="11"/>
        <color theme="1"/>
        <rFont val="맑은 고딕"/>
        <family val="3"/>
        <charset val="129"/>
        <scheme val="minor"/>
      </rPr>
      <t>역사</t>
    </r>
    <r>
      <rPr>
        <sz val="11"/>
        <color theme="1"/>
        <rFont val="맑은 고딕"/>
        <family val="2"/>
        <scheme val="minor"/>
      </rPr>
      <t>/</t>
    </r>
    <r>
      <rPr>
        <sz val="11"/>
        <color theme="1"/>
        <rFont val="맑은 고딕"/>
        <family val="3"/>
        <charset val="129"/>
        <scheme val="minor"/>
      </rPr>
      <t>도덕포함</t>
    </r>
    <r>
      <rPr>
        <sz val="11"/>
        <color theme="1"/>
        <rFont val="맑은 고딕"/>
        <family val="2"/>
        <scheme val="minor"/>
      </rPr>
      <t>)</t>
    </r>
    <phoneticPr fontId="11" type="noConversion"/>
  </si>
  <si>
    <t>동아시아 역사 기행</t>
    <phoneticPr fontId="11" type="noConversion"/>
  </si>
  <si>
    <t>진로</t>
    <phoneticPr fontId="11" type="noConversion"/>
  </si>
  <si>
    <t>한국지리 탐구</t>
    <phoneticPr fontId="11" type="noConversion"/>
  </si>
  <si>
    <t>도시의 미래 탐구</t>
    <phoneticPr fontId="11" type="noConversion"/>
  </si>
  <si>
    <t>인문학과 윤리</t>
    <phoneticPr fontId="11" type="noConversion"/>
  </si>
  <si>
    <t>정치</t>
    <phoneticPr fontId="11" type="noConversion"/>
  </si>
  <si>
    <t>법과 사회</t>
    <phoneticPr fontId="11" type="noConversion"/>
  </si>
  <si>
    <t>역사로 탐구하는 현대 세계</t>
    <phoneticPr fontId="11" type="noConversion"/>
  </si>
  <si>
    <r>
      <t>기후변화와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지속가능한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세계</t>
    </r>
    <phoneticPr fontId="11" type="noConversion"/>
  </si>
  <si>
    <t>사회문제탐구</t>
    <phoneticPr fontId="11" type="noConversion"/>
  </si>
  <si>
    <r>
      <rPr>
        <sz val="11"/>
        <color theme="1"/>
        <rFont val="맑은 고딕"/>
        <family val="3"/>
        <charset val="129"/>
        <scheme val="minor"/>
      </rPr>
      <t>전자기와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양자</t>
    </r>
    <phoneticPr fontId="11" type="noConversion"/>
  </si>
  <si>
    <t>화학 반응의 세계</t>
    <phoneticPr fontId="11" type="noConversion"/>
  </si>
  <si>
    <t>생물의 유전</t>
    <phoneticPr fontId="11" type="noConversion"/>
  </si>
  <si>
    <t>행성우주과학</t>
    <phoneticPr fontId="11" type="noConversion"/>
  </si>
  <si>
    <r>
      <t>과학의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역사와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문화</t>
    </r>
    <phoneticPr fontId="4" type="noConversion"/>
  </si>
  <si>
    <t>융합과학 탐구</t>
    <phoneticPr fontId="11" type="noConversion"/>
  </si>
  <si>
    <r>
      <rPr>
        <sz val="11"/>
        <color theme="1"/>
        <rFont val="맑은 고딕"/>
        <family val="3"/>
        <charset val="129"/>
        <scheme val="minor"/>
      </rPr>
      <t>기후변화와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환경생태</t>
    </r>
    <phoneticPr fontId="11" type="noConversion"/>
  </si>
  <si>
    <t>한문 고전 읽기</t>
    <phoneticPr fontId="4" type="noConversion"/>
  </si>
  <si>
    <t>인공지능 기초</t>
    <phoneticPr fontId="11" type="noConversion"/>
  </si>
  <si>
    <r>
      <rPr>
        <sz val="11"/>
        <color theme="1"/>
        <rFont val="맑은 고딕"/>
        <family val="3"/>
        <charset val="129"/>
        <scheme val="minor"/>
      </rPr>
      <t>선택군</t>
    </r>
    <r>
      <rPr>
        <sz val="11"/>
        <color theme="1"/>
        <rFont val="맑은 고딕"/>
        <family val="2"/>
        <scheme val="minor"/>
      </rPr>
      <t>E</t>
    </r>
    <phoneticPr fontId="11" type="noConversion"/>
  </si>
  <si>
    <t>교육의 이해</t>
    <phoneticPr fontId="11" type="noConversion"/>
  </si>
  <si>
    <t>논리와 사고</t>
    <phoneticPr fontId="11" type="noConversion"/>
  </si>
  <si>
    <t>보건</t>
    <phoneticPr fontId="11" type="noConversion"/>
  </si>
  <si>
    <r>
      <rPr>
        <sz val="11"/>
        <color theme="1"/>
        <rFont val="맑은 고딕"/>
        <family val="3"/>
        <charset val="129"/>
        <scheme val="minor"/>
      </rPr>
      <t>인간과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심리</t>
    </r>
    <phoneticPr fontId="4" type="noConversion"/>
  </si>
  <si>
    <r>
      <rPr>
        <sz val="11"/>
        <color theme="1"/>
        <rFont val="맑은 고딕"/>
        <family val="3"/>
        <charset val="129"/>
        <scheme val="minor"/>
      </rPr>
      <t>인간과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철학</t>
    </r>
    <phoneticPr fontId="4" type="noConversion"/>
  </si>
  <si>
    <t>인간과 경제활동</t>
    <phoneticPr fontId="4" type="noConversion"/>
  </si>
  <si>
    <t>학생 선택 과목 교과 이수 학점 소계</t>
  </si>
  <si>
    <t>총 교과 이수 학점 소계</t>
  </si>
  <si>
    <t>창의적 체험활동</t>
  </si>
  <si>
    <t>이수 학점 총계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</si>
</sst>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6"/>
      <color theme="1"/>
      <name val="Malgun Gothic"/>
      <family val="3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2"/>
      <scheme val="minor"/>
    </font>
    <font>
      <b/>
      <sz val="12"/>
      <color rgb="FF0000FF"/>
      <name val="Malgun Gothic"/>
      <family val="3"/>
      <charset val="129"/>
    </font>
    <font>
      <b/>
      <sz val="12"/>
      <color rgb="FFFF0000"/>
      <name val="Malgun Gothic"/>
      <family val="3"/>
      <charset val="129"/>
    </font>
    <font>
      <sz val="11"/>
      <name val="Calibri"/>
      <family val="2"/>
    </font>
    <font>
      <sz val="11"/>
      <color theme="1"/>
      <name val="Malgun Gothic"/>
      <family val="3"/>
      <charset val="129"/>
    </font>
    <font>
      <sz val="11"/>
      <color theme="1"/>
      <name val="맑은 고딕"/>
      <family val="2"/>
      <scheme val="major"/>
    </font>
    <font>
      <sz val="8"/>
      <name val="맑은 고딕"/>
      <family val="2"/>
      <charset val="129"/>
      <scheme val="minor"/>
    </font>
    <font>
      <sz val="11"/>
      <color theme="1"/>
      <name val="Calibri"/>
      <family val="2"/>
    </font>
    <font>
      <sz val="11"/>
      <color theme="1"/>
      <name val="맑은 고딕"/>
      <family val="2"/>
      <scheme val="minor"/>
    </font>
    <font>
      <sz val="11"/>
      <name val="돋움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AEABAB"/>
        <bgColor rgb="FFAEABAB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FF00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rgb="FFFFFF00"/>
      </patternFill>
    </fill>
    <fill>
      <patternFill patternType="solid">
        <fgColor rgb="FF92D050"/>
        <bgColor indexed="64"/>
      </patternFill>
    </fill>
  </fills>
  <borders count="107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3">
    <xf numFmtId="0" fontId="0" fillId="0" borderId="0" xfId="0"/>
    <xf numFmtId="0" fontId="3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6" fillId="0" borderId="1" xfId="0" applyFont="1" applyBorder="1" applyAlignment="1">
      <alignment horizontal="right" vertical="center"/>
    </xf>
    <xf numFmtId="0" fontId="8" fillId="0" borderId="1" xfId="0" applyFont="1" applyBorder="1" applyAlignment="1">
      <alignment vertical="center"/>
    </xf>
    <xf numFmtId="0" fontId="9" fillId="3" borderId="2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/>
    </xf>
    <xf numFmtId="0" fontId="8" fillId="0" borderId="8" xfId="0" applyFont="1" applyBorder="1" applyAlignment="1">
      <alignment vertical="center"/>
    </xf>
    <xf numFmtId="0" fontId="9" fillId="3" borderId="9" xfId="0" applyFont="1" applyFill="1" applyBorder="1" applyAlignment="1">
      <alignment horizontal="center" vertical="center" shrinkToFit="1"/>
    </xf>
    <xf numFmtId="0" fontId="8" fillId="0" borderId="10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8" fillId="0" borderId="12" xfId="0" applyFont="1" applyBorder="1" applyAlignment="1">
      <alignment vertical="center"/>
    </xf>
    <xf numFmtId="0" fontId="9" fillId="3" borderId="13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8" fillId="0" borderId="16" xfId="0" applyFont="1" applyBorder="1" applyAlignment="1">
      <alignment vertical="center" shrinkToFit="1"/>
    </xf>
    <xf numFmtId="0" fontId="9" fillId="0" borderId="17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shrinkToFit="1"/>
    </xf>
    <xf numFmtId="0" fontId="9" fillId="0" borderId="19" xfId="0" applyFont="1" applyBorder="1" applyAlignment="1">
      <alignment horizontal="center" vertical="center" shrinkToFit="1"/>
    </xf>
    <xf numFmtId="0" fontId="9" fillId="0" borderId="20" xfId="0" applyFont="1" applyBorder="1" applyAlignment="1">
      <alignment horizontal="center" vertical="center" shrinkToFit="1"/>
    </xf>
    <xf numFmtId="0" fontId="10" fillId="0" borderId="21" xfId="0" applyFont="1" applyBorder="1" applyAlignment="1">
      <alignment horizontal="center" vertical="center" shrinkToFit="1"/>
    </xf>
    <xf numFmtId="0" fontId="10" fillId="0" borderId="22" xfId="0" applyFont="1" applyBorder="1" applyAlignment="1">
      <alignment horizontal="center" vertical="center" shrinkToFit="1"/>
    </xf>
    <xf numFmtId="0" fontId="9" fillId="0" borderId="3" xfId="0" applyFont="1" applyBorder="1" applyAlignment="1">
      <alignment horizontal="center" vertical="center" shrinkToFit="1"/>
    </xf>
    <xf numFmtId="0" fontId="9" fillId="0" borderId="23" xfId="0" applyFont="1" applyBorder="1" applyAlignment="1">
      <alignment horizontal="center" vertical="center" shrinkToFit="1"/>
    </xf>
    <xf numFmtId="0" fontId="9" fillId="0" borderId="24" xfId="0" applyFont="1" applyBorder="1" applyAlignment="1">
      <alignment horizontal="center" vertical="center" shrinkToFit="1"/>
    </xf>
    <xf numFmtId="0" fontId="8" fillId="0" borderId="25" xfId="0" applyFont="1" applyBorder="1" applyAlignment="1">
      <alignment vertical="center"/>
    </xf>
    <xf numFmtId="0" fontId="8" fillId="0" borderId="11" xfId="0" applyFont="1" applyBorder="1" applyAlignment="1">
      <alignment vertical="center" shrinkToFit="1"/>
    </xf>
    <xf numFmtId="0" fontId="9" fillId="0" borderId="22" xfId="0" applyFont="1" applyBorder="1" applyAlignment="1">
      <alignment horizontal="center" vertical="center" shrinkToFit="1"/>
    </xf>
    <xf numFmtId="0" fontId="9" fillId="0" borderId="26" xfId="0" applyFont="1" applyBorder="1" applyAlignment="1">
      <alignment horizontal="center" vertical="center" shrinkToFit="1"/>
    </xf>
    <xf numFmtId="0" fontId="8" fillId="0" borderId="27" xfId="0" applyFont="1" applyBorder="1" applyAlignment="1">
      <alignment vertical="center" shrinkToFit="1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 shrinkToFit="1"/>
    </xf>
    <xf numFmtId="0" fontId="9" fillId="0" borderId="33" xfId="0" applyFont="1" applyBorder="1" applyAlignment="1">
      <alignment horizontal="center" vertical="center" shrinkToFit="1"/>
    </xf>
    <xf numFmtId="0" fontId="10" fillId="0" borderId="34" xfId="0" applyFont="1" applyBorder="1" applyAlignment="1">
      <alignment horizontal="center" vertical="center" shrinkToFit="1"/>
    </xf>
    <xf numFmtId="0" fontId="10" fillId="0" borderId="33" xfId="0" applyFont="1" applyBorder="1" applyAlignment="1">
      <alignment horizontal="center" vertical="center" shrinkToFit="1"/>
    </xf>
    <xf numFmtId="0" fontId="10" fillId="0" borderId="35" xfId="0" applyFont="1" applyBorder="1" applyAlignment="1">
      <alignment horizontal="center" vertical="center" shrinkToFit="1"/>
    </xf>
    <xf numFmtId="0" fontId="9" fillId="0" borderId="29" xfId="0" applyFont="1" applyBorder="1" applyAlignment="1">
      <alignment horizontal="center" vertical="center" shrinkToFit="1"/>
    </xf>
    <xf numFmtId="0" fontId="8" fillId="0" borderId="36" xfId="0" applyFont="1" applyBorder="1" applyAlignment="1">
      <alignment vertical="center" shrinkToFit="1"/>
    </xf>
    <xf numFmtId="0" fontId="8" fillId="0" borderId="29" xfId="0" applyFont="1" applyBorder="1" applyAlignment="1">
      <alignment vertical="center" shrinkToFit="1"/>
    </xf>
    <xf numFmtId="0" fontId="9" fillId="0" borderId="11" xfId="0" applyFont="1" applyBorder="1" applyAlignment="1">
      <alignment horizontal="center" vertical="center" shrinkToFit="1"/>
    </xf>
    <xf numFmtId="0" fontId="8" fillId="0" borderId="37" xfId="0" applyFont="1" applyBorder="1" applyAlignment="1">
      <alignment vertical="center" shrinkToFit="1"/>
    </xf>
    <xf numFmtId="0" fontId="9" fillId="0" borderId="38" xfId="0" applyFont="1" applyBorder="1" applyAlignment="1">
      <alignment horizontal="center" vertical="center" shrinkToFit="1"/>
    </xf>
    <xf numFmtId="0" fontId="8" fillId="0" borderId="39" xfId="0" applyFont="1" applyBorder="1" applyAlignment="1">
      <alignment vertical="center" shrinkToFit="1"/>
    </xf>
    <xf numFmtId="0" fontId="8" fillId="0" borderId="40" xfId="0" applyFont="1" applyBorder="1" applyAlignment="1">
      <alignment vertical="center" shrinkToFit="1"/>
    </xf>
    <xf numFmtId="0" fontId="8" fillId="0" borderId="24" xfId="0" applyFont="1" applyBorder="1" applyAlignment="1">
      <alignment vertical="center" shrinkToFit="1"/>
    </xf>
    <xf numFmtId="0" fontId="9" fillId="0" borderId="22" xfId="0" applyFont="1" applyBorder="1" applyAlignment="1">
      <alignment horizontal="center" vertical="center" shrinkToFit="1"/>
    </xf>
    <xf numFmtId="0" fontId="12" fillId="0" borderId="39" xfId="0" applyFont="1" applyBorder="1" applyAlignment="1">
      <alignment vertical="center" shrinkToFit="1"/>
    </xf>
    <xf numFmtId="0" fontId="12" fillId="0" borderId="12" xfId="0" applyFont="1" applyBorder="1" applyAlignment="1">
      <alignment vertical="center" shrinkToFit="1"/>
    </xf>
    <xf numFmtId="0" fontId="12" fillId="0" borderId="36" xfId="0" applyFont="1" applyBorder="1" applyAlignment="1">
      <alignment vertical="center" shrinkToFit="1"/>
    </xf>
    <xf numFmtId="0" fontId="8" fillId="0" borderId="22" xfId="0" applyFont="1" applyBorder="1" applyAlignment="1">
      <alignment vertical="center" shrinkToFit="1"/>
    </xf>
    <xf numFmtId="0" fontId="12" fillId="0" borderId="40" xfId="0" applyFont="1" applyBorder="1" applyAlignment="1">
      <alignment vertical="center" shrinkToFit="1"/>
    </xf>
    <xf numFmtId="0" fontId="12" fillId="0" borderId="24" xfId="0" applyFont="1" applyBorder="1" applyAlignment="1">
      <alignment vertical="center" shrinkToFit="1"/>
    </xf>
    <xf numFmtId="0" fontId="8" fillId="0" borderId="12" xfId="0" applyFont="1" applyBorder="1" applyAlignment="1">
      <alignment vertical="center" shrinkToFit="1"/>
    </xf>
    <xf numFmtId="0" fontId="10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44" xfId="0" applyFont="1" applyBorder="1" applyAlignment="1">
      <alignment horizontal="center" vertical="center"/>
    </xf>
    <xf numFmtId="0" fontId="10" fillId="0" borderId="42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 shrinkToFit="1"/>
    </xf>
    <xf numFmtId="0" fontId="2" fillId="0" borderId="28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 shrinkToFit="1"/>
    </xf>
    <xf numFmtId="0" fontId="9" fillId="0" borderId="36" xfId="0" applyFont="1" applyBorder="1" applyAlignment="1">
      <alignment horizontal="center" vertical="center" shrinkToFit="1"/>
    </xf>
    <xf numFmtId="0" fontId="0" fillId="0" borderId="42" xfId="0" applyBorder="1" applyAlignment="1">
      <alignment horizontal="center" vertical="center"/>
    </xf>
    <xf numFmtId="0" fontId="10" fillId="0" borderId="31" xfId="0" applyFont="1" applyBorder="1" applyAlignment="1">
      <alignment vertical="center"/>
    </xf>
    <xf numFmtId="0" fontId="10" fillId="0" borderId="29" xfId="0" applyFont="1" applyBorder="1" applyAlignment="1">
      <alignment vertical="center"/>
    </xf>
    <xf numFmtId="0" fontId="9" fillId="0" borderId="40" xfId="0" applyFont="1" applyBorder="1" applyAlignment="1">
      <alignment horizontal="center" vertical="center" shrinkToFit="1"/>
    </xf>
    <xf numFmtId="0" fontId="9" fillId="0" borderId="24" xfId="0" applyFont="1" applyBorder="1" applyAlignment="1">
      <alignment horizontal="center" vertical="center" shrinkToFit="1"/>
    </xf>
    <xf numFmtId="0" fontId="0" fillId="0" borderId="45" xfId="0" applyBorder="1" applyAlignment="1">
      <alignment horizontal="center" vertical="center"/>
    </xf>
    <xf numFmtId="0" fontId="10" fillId="0" borderId="46" xfId="0" applyFont="1" applyBorder="1" applyAlignment="1">
      <alignment horizontal="center" vertical="center"/>
    </xf>
    <xf numFmtId="0" fontId="10" fillId="0" borderId="4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 shrinkToFit="1"/>
    </xf>
    <xf numFmtId="0" fontId="0" fillId="0" borderId="29" xfId="0" applyBorder="1" applyAlignment="1">
      <alignment horizontal="center" vertical="center"/>
    </xf>
    <xf numFmtId="0" fontId="10" fillId="0" borderId="48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 shrinkToFit="1"/>
    </xf>
    <xf numFmtId="0" fontId="0" fillId="0" borderId="49" xfId="0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8" fillId="0" borderId="53" xfId="0" applyFont="1" applyBorder="1" applyAlignment="1">
      <alignment vertical="center"/>
    </xf>
    <xf numFmtId="0" fontId="0" fillId="0" borderId="54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57" xfId="0" applyBorder="1" applyAlignment="1">
      <alignment vertical="center"/>
    </xf>
    <xf numFmtId="0" fontId="0" fillId="0" borderId="55" xfId="0" applyBorder="1" applyAlignment="1">
      <alignment vertical="center"/>
    </xf>
    <xf numFmtId="0" fontId="9" fillId="0" borderId="58" xfId="0" applyFont="1" applyBorder="1" applyAlignment="1">
      <alignment horizontal="center" vertical="center" shrinkToFit="1"/>
    </xf>
    <xf numFmtId="0" fontId="9" fillId="0" borderId="59" xfId="0" applyFont="1" applyBorder="1" applyAlignment="1">
      <alignment horizontal="center" vertical="center" shrinkToFit="1"/>
    </xf>
    <xf numFmtId="0" fontId="9" fillId="4" borderId="60" xfId="0" applyFont="1" applyFill="1" applyBorder="1" applyAlignment="1">
      <alignment horizontal="center" vertical="center"/>
    </xf>
    <xf numFmtId="0" fontId="8" fillId="0" borderId="61" xfId="0" applyFont="1" applyBorder="1" applyAlignment="1">
      <alignment vertical="center"/>
    </xf>
    <xf numFmtId="0" fontId="8" fillId="0" borderId="62" xfId="0" applyFont="1" applyBorder="1" applyAlignment="1">
      <alignment vertical="center"/>
    </xf>
    <xf numFmtId="0" fontId="9" fillId="4" borderId="18" xfId="0" applyFont="1" applyFill="1" applyBorder="1" applyAlignment="1">
      <alignment horizontal="center" vertical="center"/>
    </xf>
    <xf numFmtId="0" fontId="9" fillId="4" borderId="63" xfId="0" applyFont="1" applyFill="1" applyBorder="1" applyAlignment="1">
      <alignment horizontal="center" vertical="center"/>
    </xf>
    <xf numFmtId="0" fontId="9" fillId="4" borderId="64" xfId="0" applyFont="1" applyFill="1" applyBorder="1" applyAlignment="1">
      <alignment horizontal="center" vertical="center"/>
    </xf>
    <xf numFmtId="0" fontId="9" fillId="4" borderId="65" xfId="0" applyFont="1" applyFill="1" applyBorder="1" applyAlignment="1">
      <alignment horizontal="center" vertical="center"/>
    </xf>
    <xf numFmtId="0" fontId="9" fillId="4" borderId="66" xfId="0" applyFont="1" applyFill="1" applyBorder="1" applyAlignment="1">
      <alignment horizontal="center" vertical="center"/>
    </xf>
    <xf numFmtId="0" fontId="9" fillId="4" borderId="67" xfId="0" applyFont="1" applyFill="1" applyBorder="1" applyAlignment="1">
      <alignment horizontal="center" vertical="center"/>
    </xf>
    <xf numFmtId="0" fontId="9" fillId="4" borderId="68" xfId="0" applyFont="1" applyFill="1" applyBorder="1" applyAlignment="1">
      <alignment horizontal="center" vertical="center" shrinkToFit="1"/>
    </xf>
    <xf numFmtId="0" fontId="9" fillId="0" borderId="69" xfId="0" applyFont="1" applyBorder="1" applyAlignment="1">
      <alignment horizontal="center" vertical="center" wrapText="1"/>
    </xf>
    <xf numFmtId="0" fontId="9" fillId="0" borderId="70" xfId="0" applyFont="1" applyBorder="1" applyAlignment="1">
      <alignment horizontal="center" vertical="center"/>
    </xf>
    <xf numFmtId="0" fontId="9" fillId="0" borderId="71" xfId="0" applyFont="1" applyBorder="1" applyAlignment="1">
      <alignment horizontal="center" vertical="center" shrinkToFit="1"/>
    </xf>
    <xf numFmtId="0" fontId="0" fillId="0" borderId="72" xfId="0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73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63" xfId="0" applyFont="1" applyBorder="1" applyAlignment="1">
      <alignment horizontal="center" vertical="center"/>
    </xf>
    <xf numFmtId="0" fontId="9" fillId="0" borderId="74" xfId="0" applyFont="1" applyBorder="1" applyAlignment="1">
      <alignment horizontal="center" vertical="center"/>
    </xf>
    <xf numFmtId="0" fontId="9" fillId="0" borderId="41" xfId="0" applyFont="1" applyBorder="1" applyAlignment="1">
      <alignment horizontal="center" vertical="center" wrapText="1"/>
    </xf>
    <xf numFmtId="0" fontId="9" fillId="0" borderId="45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 shrinkToFit="1"/>
    </xf>
    <xf numFmtId="0" fontId="9" fillId="0" borderId="22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75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 wrapText="1"/>
    </xf>
    <xf numFmtId="0" fontId="9" fillId="0" borderId="32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76" xfId="0" applyFont="1" applyBorder="1" applyAlignment="1">
      <alignment horizontal="center" vertical="center"/>
    </xf>
    <xf numFmtId="0" fontId="8" fillId="0" borderId="41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 wrapText="1"/>
    </xf>
    <xf numFmtId="0" fontId="9" fillId="0" borderId="42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77" xfId="0" applyFont="1" applyBorder="1" applyAlignment="1">
      <alignment horizontal="center" vertical="center" shrinkToFit="1"/>
    </xf>
    <xf numFmtId="0" fontId="9" fillId="0" borderId="35" xfId="0" applyFont="1" applyBorder="1" applyAlignment="1">
      <alignment horizontal="center" vertical="center"/>
    </xf>
    <xf numFmtId="0" fontId="9" fillId="0" borderId="78" xfId="0" applyFont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/>
    </xf>
    <xf numFmtId="0" fontId="9" fillId="0" borderId="79" xfId="0" applyFont="1" applyBorder="1" applyAlignment="1">
      <alignment horizontal="center" vertical="center"/>
    </xf>
    <xf numFmtId="0" fontId="9" fillId="0" borderId="80" xfId="0" applyFont="1" applyBorder="1" applyAlignment="1">
      <alignment horizontal="center" vertical="center"/>
    </xf>
    <xf numFmtId="0" fontId="9" fillId="0" borderId="81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center" shrinkToFit="1"/>
    </xf>
    <xf numFmtId="0" fontId="9" fillId="0" borderId="82" xfId="0" applyFont="1" applyBorder="1" applyAlignment="1">
      <alignment horizontal="center" vertical="center"/>
    </xf>
    <xf numFmtId="0" fontId="9" fillId="0" borderId="83" xfId="0" applyFont="1" applyBorder="1" applyAlignment="1">
      <alignment horizontal="center" vertical="center"/>
    </xf>
    <xf numFmtId="0" fontId="9" fillId="0" borderId="84" xfId="0" applyFont="1" applyBorder="1" applyAlignment="1">
      <alignment horizontal="center" vertical="center"/>
    </xf>
    <xf numFmtId="0" fontId="9" fillId="0" borderId="85" xfId="0" applyFont="1" applyBorder="1" applyAlignment="1">
      <alignment horizontal="center" vertical="center"/>
    </xf>
    <xf numFmtId="0" fontId="10" fillId="0" borderId="42" xfId="0" applyFont="1" applyBorder="1" applyAlignment="1">
      <alignment horizontal="center" vertical="center" wrapText="1"/>
    </xf>
    <xf numFmtId="0" fontId="9" fillId="0" borderId="48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0" borderId="86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87" xfId="0" applyBorder="1" applyAlignment="1">
      <alignment horizontal="center" vertical="center"/>
    </xf>
    <xf numFmtId="0" fontId="0" fillId="0" borderId="45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" fillId="0" borderId="42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 wrapText="1"/>
    </xf>
    <xf numFmtId="0" fontId="2" fillId="0" borderId="45" xfId="0" applyFont="1" applyBorder="1" applyAlignment="1">
      <alignment horizontal="center" vertical="center" wrapText="1"/>
    </xf>
    <xf numFmtId="0" fontId="0" fillId="0" borderId="88" xfId="0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45" xfId="0" applyFont="1" applyBorder="1" applyAlignment="1">
      <alignment horizontal="center" vertical="center"/>
    </xf>
    <xf numFmtId="0" fontId="0" fillId="0" borderId="88" xfId="0" applyBorder="1" applyAlignment="1">
      <alignment horizontal="center" vertical="center"/>
    </xf>
    <xf numFmtId="0" fontId="0" fillId="0" borderId="46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89" xfId="0" applyBorder="1" applyAlignment="1">
      <alignment horizontal="center" vertical="center" wrapText="1"/>
    </xf>
    <xf numFmtId="0" fontId="0" fillId="0" borderId="87" xfId="0" applyBorder="1" applyAlignment="1">
      <alignment horizontal="center" vertical="center" wrapText="1"/>
    </xf>
    <xf numFmtId="0" fontId="2" fillId="0" borderId="42" xfId="0" applyFont="1" applyBorder="1" applyAlignment="1">
      <alignment horizontal="center" vertical="center" wrapText="1"/>
    </xf>
    <xf numFmtId="0" fontId="2" fillId="0" borderId="45" xfId="0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 wrapText="1"/>
    </xf>
    <xf numFmtId="0" fontId="9" fillId="0" borderId="90" xfId="0" applyFont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29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9" fillId="0" borderId="78" xfId="0" applyFont="1" applyBorder="1" applyAlignment="1">
      <alignment horizontal="center" vertical="center"/>
    </xf>
    <xf numFmtId="0" fontId="9" fillId="0" borderId="91" xfId="0" applyFont="1" applyBorder="1" applyAlignment="1">
      <alignment horizontal="center" vertical="center"/>
    </xf>
    <xf numFmtId="0" fontId="0" fillId="0" borderId="86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0" fillId="0" borderId="52" xfId="0" applyBorder="1" applyAlignment="1">
      <alignment horizontal="center" vertical="center" wrapText="1"/>
    </xf>
    <xf numFmtId="0" fontId="9" fillId="0" borderId="8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43" xfId="0" applyFont="1" applyBorder="1" applyAlignment="1">
      <alignment horizontal="center" vertical="center"/>
    </xf>
    <xf numFmtId="0" fontId="0" fillId="0" borderId="92" xfId="0" applyBorder="1" applyAlignment="1">
      <alignment horizontal="center" vertical="center" wrapText="1"/>
    </xf>
    <xf numFmtId="0" fontId="0" fillId="0" borderId="55" xfId="0" applyBorder="1" applyAlignment="1">
      <alignment horizontal="center" vertical="center"/>
    </xf>
    <xf numFmtId="0" fontId="2" fillId="0" borderId="93" xfId="0" applyFont="1" applyBorder="1" applyAlignment="1">
      <alignment horizontal="center" vertical="center"/>
    </xf>
    <xf numFmtId="0" fontId="0" fillId="0" borderId="93" xfId="0" applyBorder="1" applyAlignment="1">
      <alignment horizontal="center" vertical="center"/>
    </xf>
    <xf numFmtId="0" fontId="0" fillId="0" borderId="94" xfId="0" applyBorder="1" applyAlignment="1">
      <alignment horizontal="center" vertical="center"/>
    </xf>
    <xf numFmtId="0" fontId="0" fillId="0" borderId="95" xfId="0" applyBorder="1" applyAlignment="1">
      <alignment horizontal="center" vertical="center"/>
    </xf>
    <xf numFmtId="0" fontId="8" fillId="0" borderId="93" xfId="0" applyFont="1" applyBorder="1" applyAlignment="1">
      <alignment horizontal="center" vertical="center"/>
    </xf>
    <xf numFmtId="0" fontId="8" fillId="0" borderId="56" xfId="0" applyFont="1" applyBorder="1" applyAlignment="1">
      <alignment horizontal="center" vertical="center"/>
    </xf>
    <xf numFmtId="0" fontId="9" fillId="4" borderId="96" xfId="0" applyFont="1" applyFill="1" applyBorder="1" applyAlignment="1">
      <alignment horizontal="center" vertical="center"/>
    </xf>
    <xf numFmtId="0" fontId="8" fillId="0" borderId="97" xfId="0" applyFont="1" applyBorder="1" applyAlignment="1">
      <alignment vertical="center"/>
    </xf>
    <xf numFmtId="0" fontId="9" fillId="4" borderId="98" xfId="0" applyFont="1" applyFill="1" applyBorder="1" applyAlignment="1">
      <alignment horizontal="center" vertical="center"/>
    </xf>
    <xf numFmtId="0" fontId="9" fillId="4" borderId="99" xfId="0" applyFont="1" applyFill="1" applyBorder="1" applyAlignment="1">
      <alignment horizontal="center" vertical="center"/>
    </xf>
    <xf numFmtId="0" fontId="9" fillId="4" borderId="100" xfId="0" applyFont="1" applyFill="1" applyBorder="1" applyAlignment="1">
      <alignment horizontal="center" vertical="center"/>
    </xf>
    <xf numFmtId="0" fontId="9" fillId="4" borderId="99" xfId="0" applyFont="1" applyFill="1" applyBorder="1" applyAlignment="1">
      <alignment horizontal="center" vertical="center"/>
    </xf>
    <xf numFmtId="0" fontId="9" fillId="4" borderId="16" xfId="0" applyFont="1" applyFill="1" applyBorder="1" applyAlignment="1">
      <alignment horizontal="center" vertical="center"/>
    </xf>
    <xf numFmtId="0" fontId="9" fillId="4" borderId="101" xfId="0" applyFont="1" applyFill="1" applyBorder="1" applyAlignment="1">
      <alignment horizontal="center" vertical="center" shrinkToFit="1"/>
    </xf>
    <xf numFmtId="0" fontId="9" fillId="5" borderId="5" xfId="0" applyFont="1" applyFill="1" applyBorder="1" applyAlignment="1">
      <alignment horizontal="center" vertical="center"/>
    </xf>
    <xf numFmtId="0" fontId="8" fillId="6" borderId="102" xfId="0" applyFont="1" applyFill="1" applyBorder="1" applyAlignment="1">
      <alignment vertical="center"/>
    </xf>
    <xf numFmtId="0" fontId="8" fillId="6" borderId="6" xfId="0" applyFont="1" applyFill="1" applyBorder="1" applyAlignment="1">
      <alignment vertical="center"/>
    </xf>
    <xf numFmtId="0" fontId="9" fillId="5" borderId="103" xfId="0" applyFont="1" applyFill="1" applyBorder="1" applyAlignment="1">
      <alignment horizontal="center" vertical="center"/>
    </xf>
    <xf numFmtId="0" fontId="9" fillId="5" borderId="7" xfId="0" applyFont="1" applyFill="1" applyBorder="1" applyAlignment="1">
      <alignment horizontal="center" vertical="center"/>
    </xf>
    <xf numFmtId="0" fontId="9" fillId="5" borderId="104" xfId="0" applyFont="1" applyFill="1" applyBorder="1" applyAlignment="1">
      <alignment horizontal="center" vertical="center"/>
    </xf>
    <xf numFmtId="0" fontId="9" fillId="5" borderId="7" xfId="0" applyFont="1" applyFill="1" applyBorder="1" applyAlignment="1">
      <alignment horizontal="center" vertical="center"/>
    </xf>
    <xf numFmtId="0" fontId="9" fillId="5" borderId="8" xfId="0" applyFont="1" applyFill="1" applyBorder="1" applyAlignment="1">
      <alignment horizontal="center" vertical="center"/>
    </xf>
    <xf numFmtId="0" fontId="9" fillId="5" borderId="8" xfId="0" applyFont="1" applyFill="1" applyBorder="1" applyAlignment="1">
      <alignment horizontal="center" vertical="center" shrinkToFit="1"/>
    </xf>
    <xf numFmtId="0" fontId="9" fillId="5" borderId="96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vertical="center"/>
    </xf>
    <xf numFmtId="0" fontId="8" fillId="6" borderId="97" xfId="0" applyFont="1" applyFill="1" applyBorder="1" applyAlignment="1">
      <alignment vertical="center"/>
    </xf>
    <xf numFmtId="0" fontId="9" fillId="5" borderId="98" xfId="0" applyFont="1" applyFill="1" applyBorder="1" applyAlignment="1">
      <alignment horizontal="center" vertical="center"/>
    </xf>
    <xf numFmtId="0" fontId="9" fillId="5" borderId="99" xfId="0" applyFont="1" applyFill="1" applyBorder="1" applyAlignment="1">
      <alignment horizontal="center" vertical="center"/>
    </xf>
    <xf numFmtId="0" fontId="9" fillId="5" borderId="100" xfId="0" applyFont="1" applyFill="1" applyBorder="1" applyAlignment="1">
      <alignment horizontal="center" vertical="center"/>
    </xf>
    <xf numFmtId="0" fontId="9" fillId="5" borderId="105" xfId="0" applyFont="1" applyFill="1" applyBorder="1" applyAlignment="1">
      <alignment horizontal="center" vertical="center"/>
    </xf>
    <xf numFmtId="0" fontId="9" fillId="5" borderId="106" xfId="0" applyFont="1" applyFill="1" applyBorder="1" applyAlignment="1">
      <alignment horizontal="center" vertical="center"/>
    </xf>
    <xf numFmtId="0" fontId="9" fillId="5" borderId="16" xfId="0" applyFont="1" applyFill="1" applyBorder="1" applyAlignment="1">
      <alignment horizontal="center" vertical="center" shrinkToFit="1"/>
    </xf>
    <xf numFmtId="0" fontId="9" fillId="7" borderId="96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vertical="center"/>
    </xf>
    <xf numFmtId="0" fontId="8" fillId="8" borderId="97" xfId="0" applyFont="1" applyFill="1" applyBorder="1" applyAlignment="1">
      <alignment vertical="center"/>
    </xf>
    <xf numFmtId="0" fontId="9" fillId="7" borderId="98" xfId="0" applyFont="1" applyFill="1" applyBorder="1" applyAlignment="1">
      <alignment horizontal="center" vertical="center"/>
    </xf>
    <xf numFmtId="0" fontId="9" fillId="7" borderId="99" xfId="0" applyFont="1" applyFill="1" applyBorder="1" applyAlignment="1">
      <alignment horizontal="center" vertical="center"/>
    </xf>
    <xf numFmtId="0" fontId="9" fillId="7" borderId="100" xfId="0" applyFont="1" applyFill="1" applyBorder="1" applyAlignment="1">
      <alignment horizontal="center" vertical="center"/>
    </xf>
    <xf numFmtId="0" fontId="9" fillId="7" borderId="99" xfId="0" applyFont="1" applyFill="1" applyBorder="1" applyAlignment="1">
      <alignment horizontal="center" vertical="center"/>
    </xf>
    <xf numFmtId="0" fontId="8" fillId="8" borderId="16" xfId="0" applyFont="1" applyFill="1" applyBorder="1" applyAlignment="1">
      <alignment vertical="center"/>
    </xf>
    <xf numFmtId="0" fontId="9" fillId="7" borderId="16" xfId="0" applyFont="1" applyFill="1" applyBorder="1" applyAlignment="1">
      <alignment horizontal="center" vertical="center" shrinkToFi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6&#54617;&#45380;&#46020;%20&#54617;&#44368;&#44368;&#50977;&#44284;&#51221;%20&#54200;&#49457;&#54364;%20&#49436;&#49885;(&#47749;&#49888;&#4425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작성요령"/>
      <sheetName val="2026 전학년"/>
      <sheetName val="2026 입학생 3개년 교육과정(1학년)"/>
      <sheetName val="2025 입학생 3개년 교육과정(2학년)"/>
      <sheetName val="2024 입학생 3개년 교육과정(3학년)"/>
      <sheetName val="(참고)보통교과 목록"/>
      <sheetName val="숨김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B3" t="str">
            <v>공통국어1</v>
          </cell>
          <cell r="C3" t="str">
            <v>공통</v>
          </cell>
          <cell r="D3">
            <v>4</v>
          </cell>
          <cell r="E3" t="str">
            <v>성취도 5단계+석차등급O</v>
          </cell>
        </row>
        <row r="4">
          <cell r="B4" t="str">
            <v>공통국어2</v>
          </cell>
          <cell r="C4" t="str">
            <v>공통</v>
          </cell>
          <cell r="D4">
            <v>4</v>
          </cell>
          <cell r="E4" t="str">
            <v>성취도 5단계+석차등급O</v>
          </cell>
        </row>
        <row r="5">
          <cell r="B5" t="str">
            <v>화법과 언어</v>
          </cell>
          <cell r="C5" t="str">
            <v>일반</v>
          </cell>
          <cell r="D5">
            <v>4</v>
          </cell>
          <cell r="E5" t="str">
            <v>성취도 5단계+석차등급O</v>
          </cell>
        </row>
        <row r="6">
          <cell r="B6" t="str">
            <v>독서와 작문</v>
          </cell>
          <cell r="C6" t="str">
            <v>일반</v>
          </cell>
          <cell r="D6">
            <v>4</v>
          </cell>
          <cell r="E6" t="str">
            <v>성취도 5단계+석차등급O</v>
          </cell>
        </row>
        <row r="7">
          <cell r="B7" t="str">
            <v>문학</v>
          </cell>
          <cell r="C7" t="str">
            <v>일반</v>
          </cell>
          <cell r="D7">
            <v>4</v>
          </cell>
          <cell r="E7" t="str">
            <v>성취도 5단계+석차등급O</v>
          </cell>
        </row>
        <row r="8">
          <cell r="B8" t="str">
            <v>주제 탐구 독서</v>
          </cell>
          <cell r="C8" t="str">
            <v>진로</v>
          </cell>
          <cell r="D8">
            <v>4</v>
          </cell>
          <cell r="E8" t="str">
            <v>성취도 5단계+석차등급O</v>
          </cell>
        </row>
        <row r="9">
          <cell r="B9" t="str">
            <v>문학과 영상</v>
          </cell>
          <cell r="C9" t="str">
            <v>진로</v>
          </cell>
          <cell r="D9">
            <v>4</v>
          </cell>
          <cell r="E9" t="str">
            <v>성취도 5단계+석차등급O</v>
          </cell>
        </row>
        <row r="10">
          <cell r="B10" t="str">
            <v>직무 의사소통</v>
          </cell>
          <cell r="C10" t="str">
            <v>진로</v>
          </cell>
          <cell r="D10">
            <v>4</v>
          </cell>
          <cell r="E10" t="str">
            <v>성취도 5단계+석차등급O</v>
          </cell>
        </row>
        <row r="11">
          <cell r="B11" t="str">
            <v>독서 토론과 글쓰기</v>
          </cell>
          <cell r="C11" t="str">
            <v>융합</v>
          </cell>
          <cell r="D11">
            <v>4</v>
          </cell>
          <cell r="E11" t="str">
            <v>성취도 5단계+석차등급O</v>
          </cell>
        </row>
        <row r="12">
          <cell r="B12" t="str">
            <v>매체 의사소통</v>
          </cell>
          <cell r="C12" t="str">
            <v>융합</v>
          </cell>
          <cell r="D12">
            <v>4</v>
          </cell>
          <cell r="E12" t="str">
            <v>성취도 5단계+석차등급O</v>
          </cell>
        </row>
        <row r="13">
          <cell r="B13" t="str">
            <v>언어생활 탐구</v>
          </cell>
          <cell r="C13" t="str">
            <v>융합</v>
          </cell>
          <cell r="D13">
            <v>4</v>
          </cell>
          <cell r="E13" t="str">
            <v>성취도 5단계+석차등급O</v>
          </cell>
        </row>
        <row r="14">
          <cell r="B14" t="str">
            <v>공통수학1</v>
          </cell>
          <cell r="C14" t="str">
            <v>공통</v>
          </cell>
          <cell r="D14">
            <v>4</v>
          </cell>
          <cell r="E14" t="str">
            <v>성취도 5단계+석차등급O</v>
          </cell>
        </row>
        <row r="15">
          <cell r="B15" t="str">
            <v>공통수학2</v>
          </cell>
          <cell r="C15" t="str">
            <v>공통</v>
          </cell>
          <cell r="D15">
            <v>4</v>
          </cell>
          <cell r="E15" t="str">
            <v>성취도 5단계+석차등급O</v>
          </cell>
        </row>
        <row r="16">
          <cell r="B16" t="str">
            <v>기본수학1</v>
          </cell>
          <cell r="C16" t="str">
            <v>공통</v>
          </cell>
          <cell r="D16">
            <v>4</v>
          </cell>
          <cell r="E16" t="str">
            <v>성취도 5단계+석차등급O</v>
          </cell>
        </row>
        <row r="17">
          <cell r="B17" t="str">
            <v>기본수학2</v>
          </cell>
          <cell r="C17" t="str">
            <v>공통</v>
          </cell>
          <cell r="D17">
            <v>4</v>
          </cell>
          <cell r="E17" t="str">
            <v>성취도 5단계+석차등급O</v>
          </cell>
        </row>
        <row r="18">
          <cell r="B18" t="str">
            <v>대수</v>
          </cell>
          <cell r="C18" t="str">
            <v>일반</v>
          </cell>
          <cell r="D18">
            <v>4</v>
          </cell>
          <cell r="E18" t="str">
            <v>성취도 5단계+석차등급O</v>
          </cell>
        </row>
        <row r="19">
          <cell r="B19" t="str">
            <v>미적분Ⅰ</v>
          </cell>
          <cell r="C19" t="str">
            <v>일반</v>
          </cell>
          <cell r="D19">
            <v>4</v>
          </cell>
          <cell r="E19" t="str">
            <v>성취도 5단계+석차등급O</v>
          </cell>
        </row>
        <row r="20">
          <cell r="B20" t="str">
            <v>확률과 통계</v>
          </cell>
          <cell r="C20" t="str">
            <v>일반</v>
          </cell>
          <cell r="D20">
            <v>4</v>
          </cell>
          <cell r="E20" t="str">
            <v>성취도 5단계+석차등급O</v>
          </cell>
        </row>
        <row r="21">
          <cell r="B21" t="str">
            <v>기하</v>
          </cell>
          <cell r="C21" t="str">
            <v>진로</v>
          </cell>
          <cell r="D21">
            <v>4</v>
          </cell>
          <cell r="E21" t="str">
            <v>성취도 5단계+석차등급O</v>
          </cell>
        </row>
        <row r="22">
          <cell r="B22" t="str">
            <v>미적분Ⅱ</v>
          </cell>
          <cell r="C22" t="str">
            <v>진로</v>
          </cell>
          <cell r="D22">
            <v>4</v>
          </cell>
          <cell r="E22" t="str">
            <v>성취도 5단계+석차등급O</v>
          </cell>
        </row>
        <row r="23">
          <cell r="B23" t="str">
            <v>경제 수학</v>
          </cell>
          <cell r="C23" t="str">
            <v>진로</v>
          </cell>
          <cell r="D23">
            <v>4</v>
          </cell>
          <cell r="E23" t="str">
            <v>성취도 5단계+석차등급O</v>
          </cell>
        </row>
        <row r="24">
          <cell r="B24" t="str">
            <v>인공지능 수학</v>
          </cell>
          <cell r="C24" t="str">
            <v>진로</v>
          </cell>
          <cell r="D24">
            <v>4</v>
          </cell>
          <cell r="E24" t="str">
            <v>성취도 5단계+석차등급O</v>
          </cell>
        </row>
        <row r="25">
          <cell r="B25" t="str">
            <v>직무 수학</v>
          </cell>
          <cell r="C25" t="str">
            <v>진로</v>
          </cell>
          <cell r="D25">
            <v>4</v>
          </cell>
          <cell r="E25" t="str">
            <v>성취도 5단계+석차등급O</v>
          </cell>
        </row>
        <row r="26">
          <cell r="B26" t="str">
            <v>수학과 문화</v>
          </cell>
          <cell r="C26" t="str">
            <v>융합</v>
          </cell>
          <cell r="D26">
            <v>4</v>
          </cell>
          <cell r="E26" t="str">
            <v>성취도 5단계+석차등급O</v>
          </cell>
        </row>
        <row r="27">
          <cell r="B27" t="str">
            <v>실용 통계</v>
          </cell>
          <cell r="C27" t="str">
            <v>융합</v>
          </cell>
          <cell r="D27">
            <v>4</v>
          </cell>
          <cell r="E27" t="str">
            <v>성취도 5단계+석차등급O</v>
          </cell>
        </row>
        <row r="28">
          <cell r="B28" t="str">
            <v>수학과제 탐구</v>
          </cell>
          <cell r="C28" t="str">
            <v>융합</v>
          </cell>
          <cell r="D28">
            <v>4</v>
          </cell>
          <cell r="E28" t="str">
            <v>성취도 5단계+석차등급O</v>
          </cell>
        </row>
        <row r="29">
          <cell r="B29" t="str">
            <v>공통영어1</v>
          </cell>
          <cell r="C29" t="str">
            <v>공통</v>
          </cell>
          <cell r="D29">
            <v>4</v>
          </cell>
          <cell r="E29" t="str">
            <v>성취도 5단계+석차등급O</v>
          </cell>
        </row>
        <row r="30">
          <cell r="B30" t="str">
            <v>공통영어2</v>
          </cell>
          <cell r="C30" t="str">
            <v>공통</v>
          </cell>
          <cell r="D30">
            <v>4</v>
          </cell>
          <cell r="E30" t="str">
            <v>성취도 5단계+석차등급O</v>
          </cell>
        </row>
        <row r="31">
          <cell r="B31" t="str">
            <v>기본영어1</v>
          </cell>
          <cell r="C31" t="str">
            <v>공통</v>
          </cell>
          <cell r="D31">
            <v>4</v>
          </cell>
          <cell r="E31" t="str">
            <v>성취도 5단계+석차등급O</v>
          </cell>
        </row>
        <row r="32">
          <cell r="B32" t="str">
            <v>기본영어2</v>
          </cell>
          <cell r="C32" t="str">
            <v>공통</v>
          </cell>
          <cell r="D32">
            <v>4</v>
          </cell>
          <cell r="E32" t="str">
            <v>성취도 5단계+석차등급O</v>
          </cell>
        </row>
        <row r="33">
          <cell r="B33" t="str">
            <v>영어Ⅰ</v>
          </cell>
          <cell r="C33" t="str">
            <v>일반</v>
          </cell>
          <cell r="D33">
            <v>4</v>
          </cell>
          <cell r="E33" t="str">
            <v>성취도 5단계+석차등급O</v>
          </cell>
        </row>
        <row r="34">
          <cell r="B34" t="str">
            <v>영어Ⅱ</v>
          </cell>
          <cell r="C34" t="str">
            <v>일반</v>
          </cell>
          <cell r="D34">
            <v>4</v>
          </cell>
          <cell r="E34" t="str">
            <v>성취도 5단계+석차등급O</v>
          </cell>
        </row>
        <row r="35">
          <cell r="B35" t="str">
            <v>영어 독해와 작문</v>
          </cell>
          <cell r="C35" t="str">
            <v>일반</v>
          </cell>
          <cell r="D35">
            <v>4</v>
          </cell>
          <cell r="E35" t="str">
            <v>성취도 5단계+석차등급O</v>
          </cell>
        </row>
        <row r="36">
          <cell r="B36" t="str">
            <v>영미 문학 읽기</v>
          </cell>
          <cell r="C36" t="str">
            <v>진로</v>
          </cell>
          <cell r="D36">
            <v>4</v>
          </cell>
          <cell r="E36" t="str">
            <v>성취도 5단계+석차등급O</v>
          </cell>
        </row>
        <row r="37">
          <cell r="B37" t="str">
            <v>영어 발표와 토론</v>
          </cell>
          <cell r="C37" t="str">
            <v>진로</v>
          </cell>
          <cell r="D37">
            <v>4</v>
          </cell>
          <cell r="E37" t="str">
            <v>성취도 5단계+석차등급O</v>
          </cell>
        </row>
        <row r="38">
          <cell r="B38" t="str">
            <v>심화 영어</v>
          </cell>
          <cell r="C38" t="str">
            <v>진로</v>
          </cell>
          <cell r="D38">
            <v>4</v>
          </cell>
          <cell r="E38" t="str">
            <v>성취도 5단계+석차등급O</v>
          </cell>
        </row>
        <row r="39">
          <cell r="B39" t="str">
            <v>심화 영어 독해와 작문</v>
          </cell>
          <cell r="C39" t="str">
            <v>진로</v>
          </cell>
          <cell r="D39">
            <v>4</v>
          </cell>
          <cell r="E39" t="str">
            <v>성취도 5단계+석차등급O</v>
          </cell>
        </row>
        <row r="40">
          <cell r="B40" t="str">
            <v>직무 영어</v>
          </cell>
          <cell r="C40" t="str">
            <v>진로</v>
          </cell>
          <cell r="D40">
            <v>4</v>
          </cell>
          <cell r="E40" t="str">
            <v>성취도 5단계+석차등급O</v>
          </cell>
        </row>
        <row r="41">
          <cell r="B41" t="str">
            <v>실생활 영어 회화</v>
          </cell>
          <cell r="C41" t="str">
            <v>융합</v>
          </cell>
          <cell r="D41">
            <v>4</v>
          </cell>
          <cell r="E41" t="str">
            <v>성취도 5단계+석차등급O</v>
          </cell>
        </row>
        <row r="42">
          <cell r="B42" t="str">
            <v>미디어 영어</v>
          </cell>
          <cell r="C42" t="str">
            <v>융합</v>
          </cell>
          <cell r="D42">
            <v>4</v>
          </cell>
          <cell r="E42" t="str">
            <v>성취도 5단계+석차등급O</v>
          </cell>
        </row>
        <row r="43">
          <cell r="B43" t="str">
            <v>세계 문화와 영어</v>
          </cell>
          <cell r="C43" t="str">
            <v>융합</v>
          </cell>
          <cell r="D43">
            <v>4</v>
          </cell>
          <cell r="E43" t="str">
            <v>성취도 5단계+석차등급O</v>
          </cell>
        </row>
        <row r="44">
          <cell r="B44" t="str">
            <v>한국사1</v>
          </cell>
          <cell r="C44" t="str">
            <v>공통</v>
          </cell>
          <cell r="D44">
            <v>3</v>
          </cell>
          <cell r="E44" t="str">
            <v>성취도 5단계+석차등급O</v>
          </cell>
        </row>
        <row r="45">
          <cell r="B45" t="str">
            <v>한국사2</v>
          </cell>
          <cell r="C45" t="str">
            <v>공통</v>
          </cell>
          <cell r="D45">
            <v>3</v>
          </cell>
          <cell r="E45" t="str">
            <v>성취도 5단계+석차등급O</v>
          </cell>
        </row>
        <row r="46">
          <cell r="B46" t="str">
            <v>통합사회1</v>
          </cell>
          <cell r="C46" t="str">
            <v>공통</v>
          </cell>
          <cell r="D46">
            <v>4</v>
          </cell>
          <cell r="E46" t="str">
            <v>성취도 5단계+석차등급O</v>
          </cell>
        </row>
        <row r="47">
          <cell r="B47" t="str">
            <v>통합사회2</v>
          </cell>
          <cell r="C47" t="str">
            <v>공통</v>
          </cell>
          <cell r="D47">
            <v>4</v>
          </cell>
          <cell r="E47" t="str">
            <v>성취도 5단계+석차등급O</v>
          </cell>
        </row>
        <row r="48">
          <cell r="B48" t="str">
            <v>세계시민과 지리</v>
          </cell>
          <cell r="C48" t="str">
            <v>일반</v>
          </cell>
          <cell r="D48">
            <v>4</v>
          </cell>
          <cell r="E48" t="str">
            <v>성취도 5단계+석차등급O</v>
          </cell>
        </row>
        <row r="49">
          <cell r="B49" t="str">
            <v>세계사</v>
          </cell>
          <cell r="C49" t="str">
            <v>일반</v>
          </cell>
          <cell r="D49">
            <v>4</v>
          </cell>
          <cell r="E49" t="str">
            <v>성취도 5단계+석차등급O</v>
          </cell>
        </row>
        <row r="50">
          <cell r="B50" t="str">
            <v>사회와 문화</v>
          </cell>
          <cell r="C50" t="str">
            <v>일반</v>
          </cell>
          <cell r="D50">
            <v>4</v>
          </cell>
          <cell r="E50" t="str">
            <v>성취도 5단계+석차등급O</v>
          </cell>
        </row>
        <row r="51">
          <cell r="B51" t="str">
            <v>현대사회와 윤리</v>
          </cell>
          <cell r="C51" t="str">
            <v>일반</v>
          </cell>
          <cell r="D51">
            <v>4</v>
          </cell>
          <cell r="E51" t="str">
            <v>성취도 5단계+석차등급O</v>
          </cell>
        </row>
        <row r="52">
          <cell r="B52" t="str">
            <v>한국지리 탐구</v>
          </cell>
          <cell r="C52" t="str">
            <v>진로</v>
          </cell>
          <cell r="D52">
            <v>4</v>
          </cell>
          <cell r="E52" t="str">
            <v>성취도 5단계+석차등급O</v>
          </cell>
        </row>
        <row r="53">
          <cell r="B53" t="str">
            <v>도시의 미래 탐구</v>
          </cell>
          <cell r="C53" t="str">
            <v>진로</v>
          </cell>
          <cell r="D53">
            <v>4</v>
          </cell>
          <cell r="E53" t="str">
            <v>성취도 5단계+석차등급O</v>
          </cell>
        </row>
        <row r="54">
          <cell r="B54" t="str">
            <v>동아시아 역사 기행</v>
          </cell>
          <cell r="C54" t="str">
            <v>진로</v>
          </cell>
          <cell r="D54">
            <v>4</v>
          </cell>
          <cell r="E54" t="str">
            <v>성취도 5단계+석차등급O</v>
          </cell>
        </row>
        <row r="55">
          <cell r="B55" t="str">
            <v>정치</v>
          </cell>
          <cell r="C55" t="str">
            <v>진로</v>
          </cell>
          <cell r="D55">
            <v>4</v>
          </cell>
          <cell r="E55" t="str">
            <v>성취도 5단계+석차등급O</v>
          </cell>
        </row>
        <row r="56">
          <cell r="B56" t="str">
            <v>법과 사회</v>
          </cell>
          <cell r="C56" t="str">
            <v>진로</v>
          </cell>
          <cell r="D56">
            <v>4</v>
          </cell>
          <cell r="E56" t="str">
            <v>성취도 5단계+석차등급O</v>
          </cell>
        </row>
        <row r="57">
          <cell r="B57" t="str">
            <v>경제</v>
          </cell>
          <cell r="C57" t="str">
            <v>진로</v>
          </cell>
          <cell r="D57">
            <v>4</v>
          </cell>
          <cell r="E57" t="str">
            <v>성취도 5단계+석차등급O</v>
          </cell>
        </row>
        <row r="58">
          <cell r="B58" t="str">
            <v>윤리와 사상</v>
          </cell>
          <cell r="C58" t="str">
            <v>진로</v>
          </cell>
          <cell r="D58">
            <v>4</v>
          </cell>
          <cell r="E58" t="str">
            <v>성취도 5단계+석차등급O</v>
          </cell>
        </row>
        <row r="59">
          <cell r="B59" t="str">
            <v>인문학과 윤리</v>
          </cell>
          <cell r="C59" t="str">
            <v>진로</v>
          </cell>
          <cell r="D59">
            <v>4</v>
          </cell>
          <cell r="E59" t="str">
            <v>성취도 5단계+석차등급O</v>
          </cell>
        </row>
        <row r="60">
          <cell r="B60" t="str">
            <v>국제 관계의 이해</v>
          </cell>
          <cell r="C60" t="str">
            <v>진로</v>
          </cell>
          <cell r="D60">
            <v>4</v>
          </cell>
          <cell r="E60" t="str">
            <v>성취도 5단계+석차등급O</v>
          </cell>
        </row>
        <row r="61">
          <cell r="B61" t="str">
            <v>여행지리</v>
          </cell>
          <cell r="C61" t="str">
            <v>융합</v>
          </cell>
          <cell r="D61">
            <v>4</v>
          </cell>
          <cell r="E61" t="str">
            <v>성취도 5단계+석차등급X</v>
          </cell>
        </row>
        <row r="62">
          <cell r="B62" t="str">
            <v>역사로 탐구하는 현대 세계</v>
          </cell>
          <cell r="C62" t="str">
            <v>융합</v>
          </cell>
          <cell r="D62">
            <v>4</v>
          </cell>
          <cell r="E62" t="str">
            <v>성취도 5단계+석차등급X</v>
          </cell>
        </row>
        <row r="63">
          <cell r="B63" t="str">
            <v>사회문제 탐구</v>
          </cell>
          <cell r="C63" t="str">
            <v>융합</v>
          </cell>
          <cell r="D63">
            <v>4</v>
          </cell>
          <cell r="E63" t="str">
            <v>성취도 5단계+석차등급X</v>
          </cell>
        </row>
        <row r="64">
          <cell r="B64" t="str">
            <v>금융과 경제생활</v>
          </cell>
          <cell r="C64" t="str">
            <v>융합</v>
          </cell>
          <cell r="D64">
            <v>4</v>
          </cell>
          <cell r="E64" t="str">
            <v>성취도 5단계+석차등급X</v>
          </cell>
        </row>
        <row r="65">
          <cell r="B65" t="str">
            <v>윤리문제 탐구</v>
          </cell>
          <cell r="C65" t="str">
            <v>융합</v>
          </cell>
          <cell r="D65">
            <v>4</v>
          </cell>
          <cell r="E65" t="str">
            <v>성취도 5단계+석차등급X</v>
          </cell>
        </row>
        <row r="66">
          <cell r="B66" t="str">
            <v>기후변화와 지속가능한 세계</v>
          </cell>
          <cell r="C66" t="str">
            <v>융합</v>
          </cell>
          <cell r="D66">
            <v>4</v>
          </cell>
          <cell r="E66" t="str">
            <v>성취도 5단계+석차등급X</v>
          </cell>
        </row>
        <row r="67">
          <cell r="B67" t="str">
            <v>통합과학1</v>
          </cell>
          <cell r="C67" t="str">
            <v>공통</v>
          </cell>
          <cell r="D67">
            <v>4</v>
          </cell>
          <cell r="E67" t="str">
            <v>성취도 5단계+석차등급O</v>
          </cell>
        </row>
        <row r="68">
          <cell r="B68" t="str">
            <v>통합과학2</v>
          </cell>
          <cell r="C68" t="str">
            <v>공통</v>
          </cell>
          <cell r="D68">
            <v>4</v>
          </cell>
          <cell r="E68" t="str">
            <v>성취도 5단계+석차등급O</v>
          </cell>
        </row>
        <row r="69">
          <cell r="B69" t="str">
            <v>과학탐구실험1</v>
          </cell>
          <cell r="C69" t="str">
            <v>공통</v>
          </cell>
          <cell r="D69">
            <v>1</v>
          </cell>
          <cell r="E69" t="str">
            <v>성취도 3단계</v>
          </cell>
        </row>
        <row r="70">
          <cell r="B70" t="str">
            <v>과학탐구실험2</v>
          </cell>
          <cell r="C70" t="str">
            <v>공통</v>
          </cell>
          <cell r="D70">
            <v>1</v>
          </cell>
          <cell r="E70" t="str">
            <v>성취도 3단계</v>
          </cell>
        </row>
        <row r="71">
          <cell r="B71" t="str">
            <v>물리학</v>
          </cell>
          <cell r="C71" t="str">
            <v>일반</v>
          </cell>
          <cell r="D71">
            <v>4</v>
          </cell>
          <cell r="E71" t="str">
            <v>성취도 5단계+석차등급O</v>
          </cell>
        </row>
        <row r="72">
          <cell r="B72" t="str">
            <v>화학</v>
          </cell>
          <cell r="C72" t="str">
            <v>일반</v>
          </cell>
          <cell r="D72">
            <v>4</v>
          </cell>
          <cell r="E72" t="str">
            <v>성취도 5단계+석차등급O</v>
          </cell>
        </row>
        <row r="73">
          <cell r="B73" t="str">
            <v>생명과학</v>
          </cell>
          <cell r="C73" t="str">
            <v>일반</v>
          </cell>
          <cell r="D73">
            <v>4</v>
          </cell>
          <cell r="E73" t="str">
            <v>성취도 5단계+석차등급O</v>
          </cell>
        </row>
        <row r="74">
          <cell r="B74" t="str">
            <v>지구과학</v>
          </cell>
          <cell r="C74" t="str">
            <v>일반</v>
          </cell>
          <cell r="D74">
            <v>4</v>
          </cell>
          <cell r="E74" t="str">
            <v>성취도 5단계+석차등급O</v>
          </cell>
        </row>
        <row r="75">
          <cell r="B75" t="str">
            <v>역학과 에너지</v>
          </cell>
          <cell r="C75" t="str">
            <v>진로</v>
          </cell>
          <cell r="D75">
            <v>4</v>
          </cell>
          <cell r="E75" t="str">
            <v>성취도 5단계+석차등급O</v>
          </cell>
        </row>
        <row r="76">
          <cell r="B76" t="str">
            <v>전자기와 양자</v>
          </cell>
          <cell r="C76" t="str">
            <v>진로</v>
          </cell>
          <cell r="D76">
            <v>4</v>
          </cell>
          <cell r="E76" t="str">
            <v>성취도 5단계+석차등급O</v>
          </cell>
        </row>
        <row r="77">
          <cell r="B77" t="str">
            <v>물질과 에너지</v>
          </cell>
          <cell r="C77" t="str">
            <v>진로</v>
          </cell>
          <cell r="D77">
            <v>4</v>
          </cell>
          <cell r="E77" t="str">
            <v>성취도 5단계+석차등급O</v>
          </cell>
        </row>
        <row r="78">
          <cell r="B78" t="str">
            <v>화학 반응의 세계</v>
          </cell>
          <cell r="C78" t="str">
            <v>진로</v>
          </cell>
          <cell r="D78">
            <v>4</v>
          </cell>
          <cell r="E78" t="str">
            <v>성취도 5단계+석차등급O</v>
          </cell>
        </row>
        <row r="79">
          <cell r="B79" t="str">
            <v>세포와 물질대사</v>
          </cell>
          <cell r="C79" t="str">
            <v>진로</v>
          </cell>
          <cell r="D79">
            <v>4</v>
          </cell>
          <cell r="E79" t="str">
            <v>성취도 5단계+석차등급O</v>
          </cell>
        </row>
        <row r="80">
          <cell r="B80" t="str">
            <v>생물의 유전</v>
          </cell>
          <cell r="C80" t="str">
            <v>진로</v>
          </cell>
          <cell r="D80">
            <v>4</v>
          </cell>
          <cell r="E80" t="str">
            <v>성취도 5단계+석차등급O</v>
          </cell>
        </row>
        <row r="81">
          <cell r="B81" t="str">
            <v>지구시스템과학</v>
          </cell>
          <cell r="C81" t="str">
            <v>진로</v>
          </cell>
          <cell r="D81">
            <v>4</v>
          </cell>
          <cell r="E81" t="str">
            <v>성취도 5단계+석차등급O</v>
          </cell>
        </row>
        <row r="82">
          <cell r="B82" t="str">
            <v>행성우주과학</v>
          </cell>
          <cell r="C82" t="str">
            <v>진로</v>
          </cell>
          <cell r="D82">
            <v>4</v>
          </cell>
          <cell r="E82" t="str">
            <v>성취도 5단계+석차등급O</v>
          </cell>
        </row>
        <row r="83">
          <cell r="B83" t="str">
            <v>과학의 역사와 문화</v>
          </cell>
          <cell r="C83" t="str">
            <v>융합</v>
          </cell>
          <cell r="D83">
            <v>4</v>
          </cell>
          <cell r="E83" t="str">
            <v>성취도 5단계+석차등급X</v>
          </cell>
        </row>
        <row r="84">
          <cell r="B84" t="str">
            <v>기후변화와 환경생태</v>
          </cell>
          <cell r="C84" t="str">
            <v>융합</v>
          </cell>
          <cell r="D84">
            <v>4</v>
          </cell>
          <cell r="E84" t="str">
            <v>성취도 5단계+석차등급X</v>
          </cell>
        </row>
        <row r="85">
          <cell r="B85" t="str">
            <v>융합과학 탐구</v>
          </cell>
          <cell r="C85" t="str">
            <v>융합</v>
          </cell>
          <cell r="D85">
            <v>4</v>
          </cell>
          <cell r="E85" t="str">
            <v>성취도 5단계+석차등급X</v>
          </cell>
        </row>
        <row r="86">
          <cell r="B86" t="str">
            <v>체육1</v>
          </cell>
          <cell r="C86" t="str">
            <v>일반</v>
          </cell>
          <cell r="D86">
            <v>3</v>
          </cell>
          <cell r="E86" t="str">
            <v>성취도 3단계</v>
          </cell>
        </row>
        <row r="87">
          <cell r="B87" t="str">
            <v>체육2</v>
          </cell>
          <cell r="C87" t="str">
            <v>일반</v>
          </cell>
          <cell r="D87">
            <v>3</v>
          </cell>
          <cell r="E87" t="str">
            <v>성취도 3단계</v>
          </cell>
        </row>
        <row r="88">
          <cell r="B88" t="str">
            <v>운동과 건강</v>
          </cell>
          <cell r="C88" t="str">
            <v>진로</v>
          </cell>
          <cell r="D88">
            <v>3</v>
          </cell>
          <cell r="E88" t="str">
            <v>성취도 3단계</v>
          </cell>
        </row>
        <row r="89">
          <cell r="B89" t="str">
            <v>스포츠 문화</v>
          </cell>
          <cell r="C89" t="str">
            <v>진로</v>
          </cell>
          <cell r="D89">
            <v>2</v>
          </cell>
          <cell r="E89" t="str">
            <v>성취도 3단계</v>
          </cell>
        </row>
        <row r="90">
          <cell r="B90" t="str">
            <v>스포츠 과학</v>
          </cell>
          <cell r="C90" t="str">
            <v>진로</v>
          </cell>
          <cell r="D90">
            <v>2</v>
          </cell>
          <cell r="E90" t="str">
            <v>성취도 3단계</v>
          </cell>
        </row>
        <row r="91">
          <cell r="B91" t="str">
            <v>스포츠 생활1</v>
          </cell>
          <cell r="C91" t="str">
            <v>융합</v>
          </cell>
          <cell r="D91">
            <v>3</v>
          </cell>
          <cell r="E91" t="str">
            <v>성취도 3단계</v>
          </cell>
        </row>
        <row r="92">
          <cell r="B92" t="str">
            <v>스포츠 생활2</v>
          </cell>
          <cell r="C92" t="str">
            <v>융합</v>
          </cell>
          <cell r="D92">
            <v>3</v>
          </cell>
          <cell r="E92" t="str">
            <v>성취도 3단계</v>
          </cell>
        </row>
        <row r="93">
          <cell r="B93" t="str">
            <v>음악</v>
          </cell>
          <cell r="C93" t="str">
            <v>일반</v>
          </cell>
          <cell r="D93">
            <v>3</v>
          </cell>
          <cell r="E93" t="str">
            <v>성취도 3단계</v>
          </cell>
        </row>
        <row r="94">
          <cell r="B94" t="str">
            <v>미술</v>
          </cell>
          <cell r="C94" t="str">
            <v>일반</v>
          </cell>
          <cell r="D94">
            <v>3</v>
          </cell>
          <cell r="E94" t="str">
            <v>성취도 3단계</v>
          </cell>
        </row>
        <row r="95">
          <cell r="B95" t="str">
            <v>연극</v>
          </cell>
          <cell r="C95" t="str">
            <v>일반</v>
          </cell>
          <cell r="D95">
            <v>3</v>
          </cell>
          <cell r="E95" t="str">
            <v>성취도 3단계</v>
          </cell>
        </row>
        <row r="96">
          <cell r="B96" t="str">
            <v>음악 연주와 창작</v>
          </cell>
          <cell r="C96" t="str">
            <v>진로</v>
          </cell>
          <cell r="D96">
            <v>3</v>
          </cell>
          <cell r="E96" t="str">
            <v>성취도 3단계</v>
          </cell>
        </row>
        <row r="97">
          <cell r="B97" t="str">
            <v>음악 감상과 비평</v>
          </cell>
          <cell r="C97" t="str">
            <v>진로</v>
          </cell>
          <cell r="D97">
            <v>3</v>
          </cell>
          <cell r="E97" t="str">
            <v>성취도 3단계</v>
          </cell>
        </row>
        <row r="98">
          <cell r="B98" t="str">
            <v>미술 창작</v>
          </cell>
          <cell r="C98" t="str">
            <v>진로</v>
          </cell>
          <cell r="D98">
            <v>3</v>
          </cell>
          <cell r="E98" t="str">
            <v>성취도 3단계</v>
          </cell>
        </row>
        <row r="99">
          <cell r="B99" t="str">
            <v>미술 감상과 비평</v>
          </cell>
          <cell r="C99" t="str">
            <v>진로</v>
          </cell>
          <cell r="D99">
            <v>3</v>
          </cell>
          <cell r="E99" t="str">
            <v>성취도 3단계</v>
          </cell>
        </row>
        <row r="100">
          <cell r="B100" t="str">
            <v>음악과 미디어</v>
          </cell>
          <cell r="C100" t="str">
            <v>융합</v>
          </cell>
          <cell r="D100">
            <v>3</v>
          </cell>
          <cell r="E100" t="str">
            <v>성취도 3단계</v>
          </cell>
        </row>
        <row r="101">
          <cell r="B101" t="str">
            <v>미술과 매체</v>
          </cell>
          <cell r="C101" t="str">
            <v>융합</v>
          </cell>
          <cell r="D101">
            <v>3</v>
          </cell>
          <cell r="E101" t="str">
            <v>성취도 3단계</v>
          </cell>
        </row>
        <row r="102">
          <cell r="B102" t="str">
            <v>기술·가정</v>
          </cell>
          <cell r="C102" t="str">
            <v>일반</v>
          </cell>
          <cell r="D102">
            <v>4</v>
          </cell>
          <cell r="E102" t="str">
            <v>성취도 5단계+석차등급O</v>
          </cell>
        </row>
        <row r="103">
          <cell r="B103" t="str">
            <v>로봇과 공학세계</v>
          </cell>
          <cell r="C103" t="str">
            <v>진로</v>
          </cell>
          <cell r="D103">
            <v>4</v>
          </cell>
          <cell r="E103" t="str">
            <v>성취도 5단계+석차등급O</v>
          </cell>
        </row>
        <row r="104">
          <cell r="B104" t="str">
            <v>생활과학 탐구</v>
          </cell>
          <cell r="C104" t="str">
            <v>진로</v>
          </cell>
          <cell r="D104">
            <v>4</v>
          </cell>
          <cell r="E104" t="str">
            <v>성취도 5단계+석차등급O</v>
          </cell>
        </row>
        <row r="105">
          <cell r="B105" t="str">
            <v>창의 공학 설계</v>
          </cell>
          <cell r="C105" t="str">
            <v>융합</v>
          </cell>
          <cell r="D105">
            <v>4</v>
          </cell>
          <cell r="E105" t="str">
            <v>성취도 5단계+석차등급O</v>
          </cell>
        </row>
        <row r="106">
          <cell r="B106" t="str">
            <v>지식 재산 일반</v>
          </cell>
          <cell r="C106" t="str">
            <v>융합</v>
          </cell>
          <cell r="D106">
            <v>4</v>
          </cell>
          <cell r="E106" t="str">
            <v>성취도 5단계+석차등급O</v>
          </cell>
        </row>
        <row r="107">
          <cell r="B107" t="str">
            <v>생애 설계와 자립</v>
          </cell>
          <cell r="C107" t="str">
            <v>융합</v>
          </cell>
          <cell r="D107">
            <v>2</v>
          </cell>
          <cell r="E107" t="str">
            <v>성취도 5단계+석차등급O</v>
          </cell>
        </row>
        <row r="108">
          <cell r="B108" t="str">
            <v>아동발달과 부모</v>
          </cell>
          <cell r="C108" t="str">
            <v>융합</v>
          </cell>
          <cell r="D108">
            <v>4</v>
          </cell>
          <cell r="E108" t="str">
            <v>성취도 5단계+석차등급O</v>
          </cell>
        </row>
        <row r="109">
          <cell r="B109" t="str">
            <v>정보</v>
          </cell>
          <cell r="C109" t="str">
            <v>일반</v>
          </cell>
          <cell r="D109">
            <v>4</v>
          </cell>
          <cell r="E109" t="str">
            <v>성취도 5단계+석차등급O</v>
          </cell>
        </row>
        <row r="110">
          <cell r="B110" t="str">
            <v>인공지능 기초</v>
          </cell>
          <cell r="C110" t="str">
            <v>진로</v>
          </cell>
          <cell r="D110">
            <v>4</v>
          </cell>
          <cell r="E110" t="str">
            <v>성취도 5단계+석차등급O</v>
          </cell>
        </row>
        <row r="111">
          <cell r="B111" t="str">
            <v>데이터 과학</v>
          </cell>
          <cell r="C111" t="str">
            <v>진로</v>
          </cell>
          <cell r="D111">
            <v>4</v>
          </cell>
          <cell r="E111" t="str">
            <v>성취도 5단계+석차등급O</v>
          </cell>
        </row>
        <row r="112">
          <cell r="B112" t="str">
            <v>소프트웨어와 생활</v>
          </cell>
          <cell r="C112" t="str">
            <v>융합</v>
          </cell>
          <cell r="D112">
            <v>4</v>
          </cell>
          <cell r="E112" t="str">
            <v>성취도 5단계+석차등급O</v>
          </cell>
        </row>
        <row r="113">
          <cell r="B113" t="str">
            <v>독일어</v>
          </cell>
          <cell r="C113" t="str">
            <v>일반</v>
          </cell>
          <cell r="D113">
            <v>4</v>
          </cell>
          <cell r="E113" t="str">
            <v>성취도 5단계+석차등급O</v>
          </cell>
        </row>
        <row r="114">
          <cell r="B114" t="str">
            <v>프랑스어</v>
          </cell>
          <cell r="C114" t="str">
            <v>일반</v>
          </cell>
          <cell r="D114">
            <v>4</v>
          </cell>
          <cell r="E114" t="str">
            <v>성취도 5단계+석차등급O</v>
          </cell>
        </row>
        <row r="115">
          <cell r="B115" t="str">
            <v>스페인어</v>
          </cell>
          <cell r="C115" t="str">
            <v>일반</v>
          </cell>
          <cell r="D115">
            <v>4</v>
          </cell>
          <cell r="E115" t="str">
            <v>성취도 5단계+석차등급O</v>
          </cell>
        </row>
        <row r="116">
          <cell r="B116" t="str">
            <v>중국어</v>
          </cell>
          <cell r="C116" t="str">
            <v>일반</v>
          </cell>
          <cell r="D116">
            <v>4</v>
          </cell>
          <cell r="E116" t="str">
            <v>성취도 5단계+석차등급O</v>
          </cell>
        </row>
        <row r="117">
          <cell r="B117" t="str">
            <v>일본어</v>
          </cell>
          <cell r="C117" t="str">
            <v>일반</v>
          </cell>
          <cell r="D117">
            <v>4</v>
          </cell>
          <cell r="E117" t="str">
            <v>성취도 5단계+석차등급O</v>
          </cell>
        </row>
        <row r="118">
          <cell r="B118" t="str">
            <v>러시아어</v>
          </cell>
          <cell r="C118" t="str">
            <v>일반</v>
          </cell>
          <cell r="D118">
            <v>4</v>
          </cell>
          <cell r="E118" t="str">
            <v>성취도 5단계+석차등급O</v>
          </cell>
        </row>
        <row r="119">
          <cell r="B119" t="str">
            <v>아랍어</v>
          </cell>
          <cell r="C119" t="str">
            <v>일반</v>
          </cell>
          <cell r="D119">
            <v>4</v>
          </cell>
          <cell r="E119" t="str">
            <v>성취도 5단계+석차등급O</v>
          </cell>
        </row>
        <row r="120">
          <cell r="B120" t="str">
            <v>베트남어</v>
          </cell>
          <cell r="C120" t="str">
            <v>일반</v>
          </cell>
          <cell r="D120">
            <v>4</v>
          </cell>
          <cell r="E120" t="str">
            <v>성취도 5단계+석차등급O</v>
          </cell>
        </row>
        <row r="121">
          <cell r="B121" t="str">
            <v>독일어 회화</v>
          </cell>
          <cell r="C121" t="str">
            <v>진로</v>
          </cell>
          <cell r="D121">
            <v>4</v>
          </cell>
          <cell r="E121" t="str">
            <v>성취도 5단계+석차등급O</v>
          </cell>
        </row>
        <row r="122">
          <cell r="B122" t="str">
            <v>프랑스어 회화</v>
          </cell>
          <cell r="C122" t="str">
            <v>진로</v>
          </cell>
          <cell r="D122">
            <v>4</v>
          </cell>
          <cell r="E122" t="str">
            <v>성취도 5단계+석차등급O</v>
          </cell>
        </row>
        <row r="123">
          <cell r="B123" t="str">
            <v>스페인어 회화</v>
          </cell>
          <cell r="C123" t="str">
            <v>진로</v>
          </cell>
          <cell r="D123">
            <v>4</v>
          </cell>
          <cell r="E123" t="str">
            <v>성취도 5단계+석차등급O</v>
          </cell>
        </row>
        <row r="124">
          <cell r="B124" t="str">
            <v>중국어 회화</v>
          </cell>
          <cell r="C124" t="str">
            <v>진로</v>
          </cell>
          <cell r="D124">
            <v>4</v>
          </cell>
          <cell r="E124" t="str">
            <v>성취도 5단계+석차등급O</v>
          </cell>
        </row>
        <row r="125">
          <cell r="B125" t="str">
            <v>일본어 회화</v>
          </cell>
          <cell r="C125" t="str">
            <v>진로</v>
          </cell>
          <cell r="D125">
            <v>4</v>
          </cell>
          <cell r="E125" t="str">
            <v>성취도 5단계+석차등급O</v>
          </cell>
        </row>
        <row r="126">
          <cell r="B126" t="str">
            <v>러시아어 회화</v>
          </cell>
          <cell r="C126" t="str">
            <v>진로</v>
          </cell>
          <cell r="D126">
            <v>4</v>
          </cell>
          <cell r="E126" t="str">
            <v>성취도 5단계+석차등급O</v>
          </cell>
        </row>
        <row r="127">
          <cell r="B127" t="str">
            <v>아랍어 회화</v>
          </cell>
          <cell r="C127" t="str">
            <v>진로</v>
          </cell>
          <cell r="D127">
            <v>4</v>
          </cell>
          <cell r="E127" t="str">
            <v>성취도 5단계+석차등급O</v>
          </cell>
        </row>
        <row r="128">
          <cell r="B128" t="str">
            <v>베트남어 회화</v>
          </cell>
          <cell r="C128" t="str">
            <v>진로</v>
          </cell>
          <cell r="D128">
            <v>4</v>
          </cell>
          <cell r="E128" t="str">
            <v>성취도 5단계+석차등급O</v>
          </cell>
        </row>
        <row r="129">
          <cell r="B129" t="str">
            <v>심화 독일어</v>
          </cell>
          <cell r="C129" t="str">
            <v>진로</v>
          </cell>
          <cell r="D129">
            <v>4</v>
          </cell>
          <cell r="E129" t="str">
            <v>성취도 5단계+석차등급O</v>
          </cell>
        </row>
        <row r="130">
          <cell r="B130" t="str">
            <v>심화 프랑스어</v>
          </cell>
          <cell r="C130" t="str">
            <v>진로</v>
          </cell>
          <cell r="D130">
            <v>4</v>
          </cell>
          <cell r="E130" t="str">
            <v>성취도 5단계+석차등급O</v>
          </cell>
        </row>
        <row r="131">
          <cell r="B131" t="str">
            <v>심화 스페인어</v>
          </cell>
          <cell r="C131" t="str">
            <v>진로</v>
          </cell>
          <cell r="D131">
            <v>4</v>
          </cell>
          <cell r="E131" t="str">
            <v>성취도 5단계+석차등급O</v>
          </cell>
        </row>
        <row r="132">
          <cell r="B132" t="str">
            <v>심화 중국어</v>
          </cell>
          <cell r="C132" t="str">
            <v>진로</v>
          </cell>
          <cell r="D132">
            <v>4</v>
          </cell>
          <cell r="E132" t="str">
            <v>성취도 5단계+석차등급O</v>
          </cell>
        </row>
        <row r="133">
          <cell r="B133" t="str">
            <v>심화 일본어</v>
          </cell>
          <cell r="C133" t="str">
            <v>진로</v>
          </cell>
          <cell r="D133">
            <v>4</v>
          </cell>
          <cell r="E133" t="str">
            <v>성취도 5단계+석차등급O</v>
          </cell>
        </row>
        <row r="134">
          <cell r="B134" t="str">
            <v>심화 러시아어</v>
          </cell>
          <cell r="C134" t="str">
            <v>진로</v>
          </cell>
          <cell r="D134">
            <v>4</v>
          </cell>
          <cell r="E134" t="str">
            <v>성취도 5단계+석차등급O</v>
          </cell>
        </row>
        <row r="135">
          <cell r="B135" t="str">
            <v>심화 아랍어</v>
          </cell>
          <cell r="C135" t="str">
            <v>진로</v>
          </cell>
          <cell r="D135">
            <v>4</v>
          </cell>
          <cell r="E135" t="str">
            <v>성취도 5단계+석차등급O</v>
          </cell>
        </row>
        <row r="136">
          <cell r="B136" t="str">
            <v>심화 베트남어</v>
          </cell>
          <cell r="C136" t="str">
            <v>진로</v>
          </cell>
          <cell r="D136">
            <v>4</v>
          </cell>
          <cell r="E136" t="str">
            <v>성취도 5단계+석차등급O</v>
          </cell>
        </row>
        <row r="137">
          <cell r="B137" t="str">
            <v>독일어권 문화</v>
          </cell>
          <cell r="C137" t="str">
            <v>융합</v>
          </cell>
          <cell r="D137">
            <v>4</v>
          </cell>
          <cell r="E137" t="str">
            <v>성취도 5단계+석차등급O</v>
          </cell>
        </row>
        <row r="138">
          <cell r="B138" t="str">
            <v>프랑스어권 문화</v>
          </cell>
          <cell r="C138" t="str">
            <v>융합</v>
          </cell>
          <cell r="D138">
            <v>4</v>
          </cell>
          <cell r="E138" t="str">
            <v>성취도 5단계+석차등급O</v>
          </cell>
        </row>
        <row r="139">
          <cell r="B139" t="str">
            <v>스페인어권 문화</v>
          </cell>
          <cell r="C139" t="str">
            <v>융합</v>
          </cell>
          <cell r="D139">
            <v>4</v>
          </cell>
          <cell r="E139" t="str">
            <v>성취도 5단계+석차등급O</v>
          </cell>
        </row>
        <row r="140">
          <cell r="B140" t="str">
            <v>중국 문화</v>
          </cell>
          <cell r="C140" t="str">
            <v>융합</v>
          </cell>
          <cell r="D140">
            <v>4</v>
          </cell>
          <cell r="E140" t="str">
            <v>성취도 5단계+석차등급O</v>
          </cell>
        </row>
        <row r="141">
          <cell r="B141" t="str">
            <v>일본 문화</v>
          </cell>
          <cell r="C141" t="str">
            <v>융합</v>
          </cell>
          <cell r="D141">
            <v>4</v>
          </cell>
          <cell r="E141" t="str">
            <v>성취도 5단계+석차등급O</v>
          </cell>
        </row>
        <row r="142">
          <cell r="B142" t="str">
            <v>러시아 문화</v>
          </cell>
          <cell r="C142" t="str">
            <v>융합</v>
          </cell>
          <cell r="D142">
            <v>4</v>
          </cell>
          <cell r="E142" t="str">
            <v>성취도 5단계+석차등급O</v>
          </cell>
        </row>
        <row r="143">
          <cell r="B143" t="str">
            <v>아랍 문화</v>
          </cell>
          <cell r="C143" t="str">
            <v>융합</v>
          </cell>
          <cell r="D143">
            <v>4</v>
          </cell>
          <cell r="E143" t="str">
            <v>성취도 5단계+석차등급O</v>
          </cell>
        </row>
        <row r="144">
          <cell r="B144" t="str">
            <v>베트남 문화</v>
          </cell>
          <cell r="C144" t="str">
            <v>융합</v>
          </cell>
          <cell r="D144">
            <v>4</v>
          </cell>
          <cell r="E144" t="str">
            <v>성취도 5단계+석차등급O</v>
          </cell>
        </row>
        <row r="145">
          <cell r="B145" t="str">
            <v>한문</v>
          </cell>
          <cell r="C145" t="str">
            <v>일반</v>
          </cell>
          <cell r="D145">
            <v>4</v>
          </cell>
          <cell r="E145" t="str">
            <v>성취도 5단계+석차등급O</v>
          </cell>
        </row>
        <row r="146">
          <cell r="B146" t="str">
            <v>한문 고전 읽기</v>
          </cell>
          <cell r="C146" t="str">
            <v>진로</v>
          </cell>
          <cell r="D146">
            <v>4</v>
          </cell>
          <cell r="E146" t="str">
            <v>성취도 5단계+석차등급O</v>
          </cell>
        </row>
        <row r="147">
          <cell r="B147" t="str">
            <v>언어생활과 한자</v>
          </cell>
          <cell r="C147" t="str">
            <v>융합</v>
          </cell>
          <cell r="D147">
            <v>4</v>
          </cell>
          <cell r="E147" t="str">
            <v>성취도 5단계+석차등급O</v>
          </cell>
        </row>
        <row r="148">
          <cell r="B148" t="str">
            <v>진로와 직업</v>
          </cell>
          <cell r="C148" t="str">
            <v>일반</v>
          </cell>
          <cell r="D148">
            <v>3</v>
          </cell>
          <cell r="E148" t="str">
            <v>이수/미이수</v>
          </cell>
        </row>
        <row r="149">
          <cell r="B149" t="str">
            <v>생태와 환경</v>
          </cell>
          <cell r="C149" t="str">
            <v>일반</v>
          </cell>
          <cell r="D149">
            <v>3</v>
          </cell>
          <cell r="E149" t="str">
            <v>이수/미이수</v>
          </cell>
        </row>
        <row r="150">
          <cell r="B150" t="str">
            <v>인간과 철학</v>
          </cell>
          <cell r="C150" t="str">
            <v>진로</v>
          </cell>
          <cell r="D150">
            <v>3</v>
          </cell>
          <cell r="E150" t="str">
            <v>이수/미이수</v>
          </cell>
        </row>
        <row r="151">
          <cell r="B151" t="str">
            <v>논리와 사고</v>
          </cell>
          <cell r="C151" t="str">
            <v>진로</v>
          </cell>
          <cell r="D151">
            <v>3</v>
          </cell>
          <cell r="E151" t="str">
            <v>이수/미이수</v>
          </cell>
        </row>
        <row r="152">
          <cell r="B152" t="str">
            <v>인간과 심리</v>
          </cell>
          <cell r="C152" t="str">
            <v>진로</v>
          </cell>
          <cell r="D152">
            <v>3</v>
          </cell>
          <cell r="E152" t="str">
            <v>이수/미이수</v>
          </cell>
        </row>
        <row r="153">
          <cell r="B153" t="str">
            <v>교육의 이해</v>
          </cell>
          <cell r="C153" t="str">
            <v>진로</v>
          </cell>
          <cell r="D153">
            <v>3</v>
          </cell>
          <cell r="E153" t="str">
            <v>이수/미이수</v>
          </cell>
        </row>
        <row r="154">
          <cell r="B154" t="str">
            <v>삶과 종교</v>
          </cell>
          <cell r="C154" t="str">
            <v>진로</v>
          </cell>
          <cell r="D154">
            <v>3</v>
          </cell>
          <cell r="E154" t="str">
            <v>이수/미이수</v>
          </cell>
        </row>
        <row r="155">
          <cell r="B155" t="str">
            <v>보건</v>
          </cell>
          <cell r="C155" t="str">
            <v>진로</v>
          </cell>
          <cell r="D155">
            <v>3</v>
          </cell>
          <cell r="E155" t="str">
            <v>이수/미이수</v>
          </cell>
        </row>
        <row r="156">
          <cell r="B156" t="str">
            <v>인간과 경제활동</v>
          </cell>
          <cell r="C156" t="str">
            <v>융합</v>
          </cell>
          <cell r="D156">
            <v>3</v>
          </cell>
          <cell r="E156" t="str">
            <v>이수/미이수</v>
          </cell>
        </row>
        <row r="157">
          <cell r="B157" t="str">
            <v>논술</v>
          </cell>
          <cell r="C157" t="str">
            <v>융합</v>
          </cell>
          <cell r="D157">
            <v>3</v>
          </cell>
          <cell r="E157" t="str">
            <v>이수/미이수</v>
          </cell>
        </row>
        <row r="158">
          <cell r="B158" t="str">
            <v>전문 수학</v>
          </cell>
          <cell r="C158" t="str">
            <v>진로</v>
          </cell>
          <cell r="D158">
            <v>4</v>
          </cell>
          <cell r="E158" t="str">
            <v>성취도 5단계+석차등급O</v>
          </cell>
        </row>
        <row r="159">
          <cell r="B159" t="str">
            <v>이산 수학</v>
          </cell>
          <cell r="C159" t="str">
            <v>진로</v>
          </cell>
          <cell r="D159">
            <v>4</v>
          </cell>
          <cell r="E159" t="str">
            <v>성취도 5단계+석차등급O</v>
          </cell>
        </row>
        <row r="160">
          <cell r="B160" t="str">
            <v>고급 기하</v>
          </cell>
          <cell r="C160" t="str">
            <v>진로</v>
          </cell>
          <cell r="D160">
            <v>4</v>
          </cell>
          <cell r="E160" t="str">
            <v>성취도 5단계+석차등급O</v>
          </cell>
        </row>
        <row r="161">
          <cell r="B161" t="str">
            <v>고급 대수</v>
          </cell>
          <cell r="C161" t="str">
            <v>진로</v>
          </cell>
          <cell r="D161">
            <v>4</v>
          </cell>
          <cell r="E161" t="str">
            <v>성취도 5단계+석차등급O</v>
          </cell>
        </row>
        <row r="162">
          <cell r="B162" t="str">
            <v>고급 미적분</v>
          </cell>
          <cell r="C162" t="str">
            <v>진로</v>
          </cell>
          <cell r="D162">
            <v>4</v>
          </cell>
          <cell r="E162" t="str">
            <v>성취도 5단계+석차등급O</v>
          </cell>
        </row>
        <row r="163">
          <cell r="B163" t="str">
            <v>고급 물리학</v>
          </cell>
          <cell r="C163" t="str">
            <v>진로</v>
          </cell>
          <cell r="D163">
            <v>4</v>
          </cell>
          <cell r="E163" t="str">
            <v>성취도 5단계+석차등급O</v>
          </cell>
        </row>
        <row r="164">
          <cell r="B164" t="str">
            <v>고급 화학</v>
          </cell>
          <cell r="C164" t="str">
            <v>진로</v>
          </cell>
          <cell r="D164">
            <v>4</v>
          </cell>
          <cell r="E164" t="str">
            <v>성취도 5단계+석차등급O</v>
          </cell>
        </row>
        <row r="165">
          <cell r="B165" t="str">
            <v>고급 생명과학</v>
          </cell>
          <cell r="C165" t="str">
            <v>진로</v>
          </cell>
          <cell r="D165">
            <v>4</v>
          </cell>
          <cell r="E165" t="str">
            <v>성취도 5단계+석차등급O</v>
          </cell>
        </row>
        <row r="166">
          <cell r="B166" t="str">
            <v>고급 지구과학</v>
          </cell>
          <cell r="C166" t="str">
            <v>진로</v>
          </cell>
          <cell r="D166">
            <v>4</v>
          </cell>
          <cell r="E166" t="str">
            <v>성취도 5단계+석차등급O</v>
          </cell>
        </row>
        <row r="167">
          <cell r="B167" t="str">
            <v>과학과제 연구</v>
          </cell>
          <cell r="C167" t="str">
            <v>진로</v>
          </cell>
          <cell r="D167">
            <v>4</v>
          </cell>
          <cell r="E167" t="str">
            <v>성취도 5단계+석차등급O</v>
          </cell>
        </row>
        <row r="168">
          <cell r="B168" t="str">
            <v>물리학 실험</v>
          </cell>
          <cell r="C168" t="str">
            <v>융합</v>
          </cell>
          <cell r="D168">
            <v>4</v>
          </cell>
          <cell r="E168" t="str">
            <v>성취도 5단계+석차등급O</v>
          </cell>
        </row>
        <row r="169">
          <cell r="B169" t="str">
            <v>화학 실험</v>
          </cell>
          <cell r="C169" t="str">
            <v>융합</v>
          </cell>
          <cell r="D169">
            <v>4</v>
          </cell>
          <cell r="E169" t="str">
            <v>성취도 5단계+석차등급O</v>
          </cell>
        </row>
        <row r="170">
          <cell r="B170" t="str">
            <v>생명과학 실험</v>
          </cell>
          <cell r="C170" t="str">
            <v>융합</v>
          </cell>
          <cell r="D170">
            <v>4</v>
          </cell>
          <cell r="E170" t="str">
            <v>성취도 5단계+석차등급O</v>
          </cell>
        </row>
        <row r="171">
          <cell r="B171" t="str">
            <v>지구과학 실험</v>
          </cell>
          <cell r="C171" t="str">
            <v>융합</v>
          </cell>
          <cell r="D171">
            <v>4</v>
          </cell>
          <cell r="E171" t="str">
            <v>성취도 5단계+석차등급O</v>
          </cell>
        </row>
        <row r="172">
          <cell r="B172" t="str">
            <v>정보과학</v>
          </cell>
          <cell r="C172" t="str">
            <v>진로</v>
          </cell>
          <cell r="D172">
            <v>4</v>
          </cell>
          <cell r="E172" t="str">
            <v>성취도 5단계+석차등급O</v>
          </cell>
        </row>
        <row r="173">
          <cell r="B173" t="str">
            <v>스포츠 개론</v>
          </cell>
          <cell r="C173" t="str">
            <v>진로</v>
          </cell>
          <cell r="D173">
            <v>3</v>
          </cell>
          <cell r="E173" t="str">
            <v>성취도 5단계+석차등급O</v>
          </cell>
        </row>
        <row r="174">
          <cell r="B174" t="str">
            <v>육상</v>
          </cell>
          <cell r="C174" t="str">
            <v>진로</v>
          </cell>
          <cell r="D174">
            <v>3</v>
          </cell>
          <cell r="E174" t="str">
            <v>성취도 5단계+석차등급O</v>
          </cell>
        </row>
        <row r="175">
          <cell r="B175" t="str">
            <v>체조</v>
          </cell>
          <cell r="C175" t="str">
            <v>진로</v>
          </cell>
          <cell r="D175">
            <v>3</v>
          </cell>
          <cell r="E175" t="str">
            <v>성취도 5단계+석차등급O</v>
          </cell>
        </row>
        <row r="176">
          <cell r="B176" t="str">
            <v>수상 스포츠</v>
          </cell>
          <cell r="C176" t="str">
            <v>진로</v>
          </cell>
          <cell r="D176">
            <v>3</v>
          </cell>
          <cell r="E176" t="str">
            <v>성취도 5단계+석차등급O</v>
          </cell>
        </row>
        <row r="177">
          <cell r="B177" t="str">
            <v>기초 체육 전공 실기</v>
          </cell>
          <cell r="C177" t="str">
            <v>진로</v>
          </cell>
          <cell r="D177">
            <v>3</v>
          </cell>
          <cell r="E177" t="str">
            <v>성취도 5단계+석차등급O</v>
          </cell>
        </row>
        <row r="178">
          <cell r="B178" t="str">
            <v>심화 체육 전공 실기</v>
          </cell>
          <cell r="C178" t="str">
            <v>진로</v>
          </cell>
          <cell r="D178">
            <v>3</v>
          </cell>
          <cell r="E178" t="str">
            <v>성취도 5단계+석차등급O</v>
          </cell>
        </row>
        <row r="179">
          <cell r="B179" t="str">
            <v>고급 체육 전공 실기</v>
          </cell>
          <cell r="C179" t="str">
            <v>진로</v>
          </cell>
          <cell r="D179">
            <v>3</v>
          </cell>
          <cell r="E179" t="str">
            <v>성취도 5단계+석차등급O</v>
          </cell>
        </row>
        <row r="180">
          <cell r="B180" t="str">
            <v>스포츠 경기 체력</v>
          </cell>
          <cell r="C180" t="str">
            <v>진로</v>
          </cell>
          <cell r="D180">
            <v>3</v>
          </cell>
          <cell r="E180" t="str">
            <v>성취도 5단계+석차등급O</v>
          </cell>
        </row>
        <row r="181">
          <cell r="B181" t="str">
            <v>스포츠 경기 기술</v>
          </cell>
          <cell r="C181" t="str">
            <v>진로</v>
          </cell>
          <cell r="D181">
            <v>3</v>
          </cell>
          <cell r="E181" t="str">
            <v>성취도 5단계+석차등급O</v>
          </cell>
        </row>
        <row r="182">
          <cell r="B182" t="str">
            <v>스포츠 경기 분석</v>
          </cell>
          <cell r="C182" t="str">
            <v>진로</v>
          </cell>
          <cell r="D182">
            <v>3</v>
          </cell>
          <cell r="E182" t="str">
            <v>성취도 5단계+석차등급O</v>
          </cell>
        </row>
        <row r="183">
          <cell r="B183" t="str">
            <v>스포츠 교육</v>
          </cell>
          <cell r="C183" t="str">
            <v>융합</v>
          </cell>
          <cell r="D183">
            <v>3</v>
          </cell>
          <cell r="E183" t="str">
            <v>성취도 5단계+석차등급O</v>
          </cell>
        </row>
        <row r="184">
          <cell r="B184" t="str">
            <v>스포츠 생리의학</v>
          </cell>
          <cell r="C184" t="str">
            <v>융합</v>
          </cell>
          <cell r="D184">
            <v>3</v>
          </cell>
          <cell r="E184" t="str">
            <v>성취도 5단계+석차등급O</v>
          </cell>
        </row>
        <row r="185">
          <cell r="B185" t="str">
            <v>스포츠 행정 및 경영</v>
          </cell>
          <cell r="C185" t="str">
            <v>융합</v>
          </cell>
          <cell r="D185">
            <v>3</v>
          </cell>
          <cell r="E185" t="str">
            <v>성취도 5단계+석차등급O</v>
          </cell>
        </row>
        <row r="186">
          <cell r="B186" t="str">
            <v>음악 이론</v>
          </cell>
          <cell r="C186" t="str">
            <v>진로</v>
          </cell>
          <cell r="D186">
            <v>3</v>
          </cell>
          <cell r="E186" t="str">
            <v>성취도 5단계+석차등급O</v>
          </cell>
        </row>
        <row r="187">
          <cell r="B187" t="str">
            <v>음악사</v>
          </cell>
          <cell r="C187" t="str">
            <v>진로</v>
          </cell>
          <cell r="D187">
            <v>3</v>
          </cell>
          <cell r="E187" t="str">
            <v>성취도 5단계+석차등급O</v>
          </cell>
        </row>
        <row r="188">
          <cell r="B188" t="str">
            <v>시창·청음</v>
          </cell>
          <cell r="C188" t="str">
            <v>진로</v>
          </cell>
          <cell r="D188">
            <v>3</v>
          </cell>
          <cell r="E188" t="str">
            <v>성취도 5단계+석차등급O</v>
          </cell>
        </row>
        <row r="189">
          <cell r="B189" t="str">
            <v>음악 전공 실기</v>
          </cell>
          <cell r="C189" t="str">
            <v>진로</v>
          </cell>
          <cell r="D189">
            <v>3</v>
          </cell>
          <cell r="E189" t="str">
            <v>성취도 5단계+석차등급O</v>
          </cell>
        </row>
        <row r="190">
          <cell r="B190" t="str">
            <v>합창·합주</v>
          </cell>
          <cell r="C190" t="str">
            <v>진로</v>
          </cell>
          <cell r="D190">
            <v>3</v>
          </cell>
          <cell r="E190" t="str">
            <v>성취도 5단계+석차등급O</v>
          </cell>
        </row>
        <row r="191">
          <cell r="B191" t="str">
            <v>음악 공연 실습</v>
          </cell>
          <cell r="C191" t="str">
            <v>진로</v>
          </cell>
          <cell r="D191">
            <v>3</v>
          </cell>
          <cell r="E191" t="str">
            <v>성취도 5단계+석차등급O</v>
          </cell>
        </row>
        <row r="192">
          <cell r="B192" t="str">
            <v>미술 이론</v>
          </cell>
          <cell r="C192" t="str">
            <v>진로</v>
          </cell>
          <cell r="D192">
            <v>3</v>
          </cell>
          <cell r="E192" t="str">
            <v>성취도 5단계+석차등급O</v>
          </cell>
        </row>
        <row r="193">
          <cell r="B193" t="str">
            <v>드로잉</v>
          </cell>
          <cell r="C193" t="str">
            <v>진로</v>
          </cell>
          <cell r="D193">
            <v>3</v>
          </cell>
          <cell r="E193" t="str">
            <v>성취도 5단계+석차등급O</v>
          </cell>
        </row>
        <row r="194">
          <cell r="B194" t="str">
            <v>미술사</v>
          </cell>
          <cell r="C194" t="str">
            <v>진로</v>
          </cell>
          <cell r="D194">
            <v>3</v>
          </cell>
          <cell r="E194" t="str">
            <v>성취도 5단계+석차등급O</v>
          </cell>
        </row>
        <row r="195">
          <cell r="B195" t="str">
            <v>미술 전공 실기</v>
          </cell>
          <cell r="C195" t="str">
            <v>진로</v>
          </cell>
          <cell r="D195">
            <v>3</v>
          </cell>
          <cell r="E195" t="str">
            <v>성취도 5단계+석차등급O</v>
          </cell>
        </row>
        <row r="196">
          <cell r="B196" t="str">
            <v>조형 탐구</v>
          </cell>
          <cell r="C196" t="str">
            <v>진로</v>
          </cell>
          <cell r="D196">
            <v>3</v>
          </cell>
          <cell r="E196" t="str">
            <v>성취도 5단계+석차등급O</v>
          </cell>
        </row>
        <row r="197">
          <cell r="B197" t="str">
            <v>무용의 이해</v>
          </cell>
          <cell r="C197" t="str">
            <v>진로</v>
          </cell>
          <cell r="D197">
            <v>3</v>
          </cell>
          <cell r="E197" t="str">
            <v>성취도 5단계+석차등급O</v>
          </cell>
        </row>
        <row r="198">
          <cell r="B198" t="str">
            <v>무용과 몸</v>
          </cell>
          <cell r="C198" t="str">
            <v>진로</v>
          </cell>
          <cell r="D198">
            <v>3</v>
          </cell>
          <cell r="E198" t="str">
            <v>성취도 5단계+석차등급O</v>
          </cell>
        </row>
        <row r="199">
          <cell r="B199" t="str">
            <v>무용 기초 실기</v>
          </cell>
          <cell r="C199" t="str">
            <v>진로</v>
          </cell>
          <cell r="D199">
            <v>3</v>
          </cell>
          <cell r="E199" t="str">
            <v>성취도 5단계+석차등급O</v>
          </cell>
        </row>
        <row r="200">
          <cell r="B200" t="str">
            <v>무용 전공 실기</v>
          </cell>
          <cell r="C200" t="str">
            <v>진로</v>
          </cell>
          <cell r="D200">
            <v>3</v>
          </cell>
          <cell r="E200" t="str">
            <v>성취도 5단계+석차등급O</v>
          </cell>
        </row>
        <row r="201">
          <cell r="B201" t="str">
            <v>안무</v>
          </cell>
          <cell r="C201" t="str">
            <v>진로</v>
          </cell>
          <cell r="D201">
            <v>3</v>
          </cell>
          <cell r="E201" t="str">
            <v>성취도 5단계+석차등급O</v>
          </cell>
        </row>
        <row r="202">
          <cell r="B202" t="str">
            <v>무용 제작 실습</v>
          </cell>
          <cell r="C202" t="str">
            <v>진로</v>
          </cell>
          <cell r="D202">
            <v>3</v>
          </cell>
          <cell r="E202" t="str">
            <v>성취도 5단계+석차등급O</v>
          </cell>
        </row>
        <row r="203">
          <cell r="B203" t="str">
            <v>무용 감상과 비평</v>
          </cell>
          <cell r="C203" t="str">
            <v>진로</v>
          </cell>
          <cell r="D203">
            <v>3</v>
          </cell>
          <cell r="E203" t="str">
            <v>성취도 5단계+석차등급O</v>
          </cell>
        </row>
        <row r="204">
          <cell r="B204" t="str">
            <v>문예 창작의 이해</v>
          </cell>
          <cell r="C204" t="str">
            <v>진로</v>
          </cell>
          <cell r="D204">
            <v>3</v>
          </cell>
          <cell r="E204" t="str">
            <v>성취도 5단계+석차등급O</v>
          </cell>
        </row>
        <row r="205">
          <cell r="B205" t="str">
            <v>문장론</v>
          </cell>
          <cell r="C205" t="str">
            <v>진로</v>
          </cell>
          <cell r="D205">
            <v>3</v>
          </cell>
          <cell r="E205" t="str">
            <v>성취도 5단계+석차등급O</v>
          </cell>
        </row>
        <row r="206">
          <cell r="B206" t="str">
            <v>문학 감상과 비평</v>
          </cell>
          <cell r="C206" t="str">
            <v>진로</v>
          </cell>
          <cell r="D206">
            <v>3</v>
          </cell>
          <cell r="E206" t="str">
            <v>성취도 5단계+석차등급O</v>
          </cell>
        </row>
        <row r="207">
          <cell r="B207" t="str">
            <v>시 창작</v>
          </cell>
          <cell r="C207" t="str">
            <v>진로</v>
          </cell>
          <cell r="D207">
            <v>3</v>
          </cell>
          <cell r="E207" t="str">
            <v>성취도 5단계+석차등급O</v>
          </cell>
        </row>
        <row r="208">
          <cell r="B208" t="str">
            <v>소설 창작</v>
          </cell>
          <cell r="C208" t="str">
            <v>진로</v>
          </cell>
          <cell r="D208">
            <v>3</v>
          </cell>
          <cell r="E208" t="str">
            <v>성취도 5단계+석차등급O</v>
          </cell>
        </row>
        <row r="209">
          <cell r="B209" t="str">
            <v>극 창작</v>
          </cell>
          <cell r="C209" t="str">
            <v>진로</v>
          </cell>
          <cell r="D209">
            <v>3</v>
          </cell>
          <cell r="E209" t="str">
            <v>성취도 5단계+석차등급O</v>
          </cell>
        </row>
        <row r="210">
          <cell r="B210" t="str">
            <v>연극과 몸</v>
          </cell>
          <cell r="C210" t="str">
            <v>진로</v>
          </cell>
          <cell r="D210">
            <v>3</v>
          </cell>
          <cell r="E210" t="str">
            <v>성취도 5단계+석차등급O</v>
          </cell>
        </row>
        <row r="211">
          <cell r="B211" t="str">
            <v>연극과 말</v>
          </cell>
          <cell r="C211" t="str">
            <v>진로</v>
          </cell>
          <cell r="D211">
            <v>3</v>
          </cell>
          <cell r="E211" t="str">
            <v>성취도 5단계+석차등급O</v>
          </cell>
        </row>
        <row r="212">
          <cell r="B212" t="str">
            <v>연기</v>
          </cell>
          <cell r="C212" t="str">
            <v>진로</v>
          </cell>
          <cell r="D212">
            <v>3</v>
          </cell>
          <cell r="E212" t="str">
            <v>성취도 5단계+석차등급O</v>
          </cell>
        </row>
        <row r="213">
          <cell r="B213" t="str">
            <v>무대 미술과 기술</v>
          </cell>
          <cell r="C213" t="str">
            <v>진로</v>
          </cell>
          <cell r="D213">
            <v>3</v>
          </cell>
          <cell r="E213" t="str">
            <v>성취도 5단계+석차등급O</v>
          </cell>
        </row>
        <row r="214">
          <cell r="B214" t="str">
            <v>연극 제작 실습</v>
          </cell>
          <cell r="C214" t="str">
            <v>진로</v>
          </cell>
          <cell r="D214">
            <v>3</v>
          </cell>
          <cell r="E214" t="str">
            <v>성취도 5단계+석차등급O</v>
          </cell>
        </row>
        <row r="215">
          <cell r="B215" t="str">
            <v>연극 감상과 비평</v>
          </cell>
          <cell r="C215" t="str">
            <v>진로</v>
          </cell>
          <cell r="D215">
            <v>3</v>
          </cell>
          <cell r="E215" t="str">
            <v>성취도 5단계+석차등급O</v>
          </cell>
        </row>
        <row r="216">
          <cell r="B216" t="str">
            <v>영화의 이해</v>
          </cell>
          <cell r="C216" t="str">
            <v>진로</v>
          </cell>
          <cell r="D216">
            <v>3</v>
          </cell>
          <cell r="E216" t="str">
            <v>성취도 5단계+석차등급O</v>
          </cell>
        </row>
        <row r="217">
          <cell r="B217" t="str">
            <v>촬영·조명</v>
          </cell>
          <cell r="C217" t="str">
            <v>진로</v>
          </cell>
          <cell r="D217">
            <v>3</v>
          </cell>
          <cell r="E217" t="str">
            <v>성취도 5단계+석차등급O</v>
          </cell>
        </row>
        <row r="218">
          <cell r="B218" t="str">
            <v>편집·사운드</v>
          </cell>
          <cell r="C218" t="str">
            <v>진로</v>
          </cell>
          <cell r="D218">
            <v>3</v>
          </cell>
          <cell r="E218" t="str">
            <v>성취도 5단계+석차등급O</v>
          </cell>
        </row>
        <row r="219">
          <cell r="B219" t="str">
            <v>영화 제작 실습</v>
          </cell>
          <cell r="C219" t="str">
            <v>진로</v>
          </cell>
          <cell r="D219">
            <v>3</v>
          </cell>
          <cell r="E219" t="str">
            <v>성취도 5단계+석차등급O</v>
          </cell>
        </row>
        <row r="220">
          <cell r="B220" t="str">
            <v>영화 감상과 비평</v>
          </cell>
          <cell r="C220" t="str">
            <v>진로</v>
          </cell>
          <cell r="D220">
            <v>3</v>
          </cell>
          <cell r="E220" t="str">
            <v>성취도 5단계+석차등급O</v>
          </cell>
        </row>
        <row r="221">
          <cell r="B221" t="str">
            <v>사진의 이해</v>
          </cell>
          <cell r="C221" t="str">
            <v>진로</v>
          </cell>
          <cell r="D221">
            <v>3</v>
          </cell>
          <cell r="E221" t="str">
            <v>성취도 5단계+석차등급O</v>
          </cell>
        </row>
        <row r="222">
          <cell r="B222" t="str">
            <v>사진 촬영</v>
          </cell>
          <cell r="C222" t="str">
            <v>진로</v>
          </cell>
          <cell r="D222">
            <v>3</v>
          </cell>
          <cell r="E222" t="str">
            <v>성취도 5단계+석차등급O</v>
          </cell>
        </row>
        <row r="223">
          <cell r="B223" t="str">
            <v>사진 표현 기법</v>
          </cell>
          <cell r="C223" t="str">
            <v>진로</v>
          </cell>
          <cell r="D223">
            <v>3</v>
          </cell>
          <cell r="E223" t="str">
            <v>성취도 5단계+석차등급O</v>
          </cell>
        </row>
        <row r="224">
          <cell r="B224" t="str">
            <v>영상 제작의 이해</v>
          </cell>
          <cell r="C224" t="str">
            <v>진로</v>
          </cell>
          <cell r="D224">
            <v>3</v>
          </cell>
          <cell r="E224" t="str">
            <v>성취도 5단계+석차등급O</v>
          </cell>
        </row>
        <row r="225">
          <cell r="B225" t="str">
            <v>사진 감상과 비평</v>
          </cell>
          <cell r="C225" t="str">
            <v>진로</v>
          </cell>
          <cell r="D225">
            <v>3</v>
          </cell>
          <cell r="E225" t="str">
            <v>성취도 5단계+석차등급O</v>
          </cell>
        </row>
        <row r="226">
          <cell r="B226" t="str">
            <v>음악과 문화</v>
          </cell>
          <cell r="C226" t="str">
            <v>융합</v>
          </cell>
          <cell r="D226">
            <v>3</v>
          </cell>
          <cell r="E226" t="str">
            <v>성취도 5단계+석차등급O</v>
          </cell>
        </row>
        <row r="227">
          <cell r="B227" t="str">
            <v>미술 매체 탐구</v>
          </cell>
          <cell r="C227" t="str">
            <v>융합</v>
          </cell>
          <cell r="D227">
            <v>3</v>
          </cell>
          <cell r="E227" t="str">
            <v>성취도 5단계+석차등급O</v>
          </cell>
        </row>
        <row r="228">
          <cell r="B228" t="str">
            <v>미술과 사회</v>
          </cell>
          <cell r="C228" t="str">
            <v>융합</v>
          </cell>
          <cell r="D228">
            <v>3</v>
          </cell>
          <cell r="E228" t="str">
            <v>성취도 5단계+석차등급O</v>
          </cell>
        </row>
        <row r="229">
          <cell r="B229" t="str">
            <v>무용과 매체</v>
          </cell>
          <cell r="C229" t="str">
            <v>융합</v>
          </cell>
          <cell r="D229">
            <v>3</v>
          </cell>
          <cell r="E229" t="str">
            <v>성취도 5단계+석차등급O</v>
          </cell>
        </row>
        <row r="230">
          <cell r="B230" t="str">
            <v>문학과 매체</v>
          </cell>
          <cell r="C230" t="str">
            <v>융합</v>
          </cell>
          <cell r="D230">
            <v>3</v>
          </cell>
          <cell r="E230" t="str">
            <v>성취도 5단계+석차등급O</v>
          </cell>
        </row>
        <row r="231">
          <cell r="B231" t="str">
            <v>연극과 삶</v>
          </cell>
          <cell r="C231" t="str">
            <v>융합</v>
          </cell>
          <cell r="D231">
            <v>3</v>
          </cell>
          <cell r="E231" t="str">
            <v>성취도 5단계+석차등급O</v>
          </cell>
        </row>
        <row r="232">
          <cell r="B232" t="str">
            <v>영화와 삶</v>
          </cell>
          <cell r="C232" t="str">
            <v>융합</v>
          </cell>
          <cell r="D232">
            <v>3</v>
          </cell>
          <cell r="E232" t="str">
            <v>성취도 5단계+석차등급O</v>
          </cell>
        </row>
        <row r="233">
          <cell r="B233" t="str">
            <v>사진과 삶</v>
          </cell>
          <cell r="C233" t="str">
            <v>융합</v>
          </cell>
          <cell r="D233">
            <v>3</v>
          </cell>
          <cell r="E233" t="str">
            <v>성취도 5단계+석차등급O</v>
          </cell>
        </row>
        <row r="234">
          <cell r="B234" t="str">
            <v>심화 영어 회화Ⅰ</v>
          </cell>
          <cell r="C234" t="str">
            <v>진로</v>
          </cell>
          <cell r="D234">
            <v>4</v>
          </cell>
          <cell r="E234" t="str">
            <v>성취도 5단계+석차등급O</v>
          </cell>
        </row>
        <row r="235">
          <cell r="B235" t="str">
            <v>심화 영어 회화Ⅱ</v>
          </cell>
          <cell r="C235" t="str">
            <v>진로</v>
          </cell>
          <cell r="D235">
            <v>4</v>
          </cell>
          <cell r="E235" t="str">
            <v>성취도 5단계+석차등급O</v>
          </cell>
        </row>
        <row r="236">
          <cell r="B236" t="str">
            <v>심화 영어Ⅰ</v>
          </cell>
          <cell r="C236" t="str">
            <v>진로</v>
          </cell>
          <cell r="D236">
            <v>4</v>
          </cell>
          <cell r="E236" t="str">
            <v>성취도 5단계+석차등급O</v>
          </cell>
        </row>
        <row r="237">
          <cell r="B237" t="str">
            <v>심화 영어Ⅱ</v>
          </cell>
          <cell r="C237" t="str">
            <v>진로</v>
          </cell>
          <cell r="D237">
            <v>4</v>
          </cell>
          <cell r="E237" t="str">
            <v>성취도 5단계+석차등급O</v>
          </cell>
        </row>
        <row r="238">
          <cell r="B238" t="str">
            <v>심화 영어 독해Ⅰ</v>
          </cell>
          <cell r="C238" t="str">
            <v>진로</v>
          </cell>
          <cell r="D238">
            <v>4</v>
          </cell>
          <cell r="E238" t="str">
            <v>성취도 5단계+석차등급O</v>
          </cell>
        </row>
        <row r="239">
          <cell r="B239" t="str">
            <v>심화 영어 독해Ⅱ</v>
          </cell>
          <cell r="C239" t="str">
            <v>진로</v>
          </cell>
          <cell r="D239">
            <v>4</v>
          </cell>
          <cell r="E239" t="str">
            <v>성취도 5단계+석차등급O</v>
          </cell>
        </row>
        <row r="240">
          <cell r="B240" t="str">
            <v>심화 영어 작문Ⅰ</v>
          </cell>
          <cell r="C240" t="str">
            <v>진로</v>
          </cell>
          <cell r="D240">
            <v>4</v>
          </cell>
          <cell r="E240" t="str">
            <v>성취도 5단계+석차등급O</v>
          </cell>
        </row>
        <row r="241">
          <cell r="B241" t="str">
            <v>심화 영어 작문Ⅱ</v>
          </cell>
          <cell r="C241" t="str">
            <v>진로</v>
          </cell>
          <cell r="D241">
            <v>4</v>
          </cell>
          <cell r="E241" t="str">
            <v>성취도 5단계+석차등급O</v>
          </cell>
        </row>
        <row r="242">
          <cell r="B242" t="str">
            <v>국제 정치</v>
          </cell>
          <cell r="C242" t="str">
            <v>진로</v>
          </cell>
          <cell r="D242">
            <v>4</v>
          </cell>
          <cell r="E242" t="str">
            <v>성취도 5단계+석차등급O</v>
          </cell>
        </row>
        <row r="243">
          <cell r="B243" t="str">
            <v>국제 경제</v>
          </cell>
          <cell r="C243" t="str">
            <v>진로</v>
          </cell>
          <cell r="D243">
            <v>4</v>
          </cell>
          <cell r="E243" t="str">
            <v>성취도 5단계+석차등급O</v>
          </cell>
        </row>
        <row r="244">
          <cell r="B244" t="str">
            <v>국제법</v>
          </cell>
          <cell r="C244" t="str">
            <v>진로</v>
          </cell>
          <cell r="D244">
            <v>4</v>
          </cell>
          <cell r="E244" t="str">
            <v>성취도 5단계+석차등급O</v>
          </cell>
        </row>
        <row r="245">
          <cell r="B245" t="str">
            <v>지역 이해</v>
          </cell>
          <cell r="C245" t="str">
            <v>진로</v>
          </cell>
          <cell r="D245">
            <v>4</v>
          </cell>
          <cell r="E245" t="str">
            <v>성취도 5단계+석차등급O</v>
          </cell>
        </row>
        <row r="246">
          <cell r="B246" t="str">
            <v>한국 사회의 이해</v>
          </cell>
          <cell r="C246" t="str">
            <v>진로</v>
          </cell>
          <cell r="D246">
            <v>4</v>
          </cell>
          <cell r="E246" t="str">
            <v>성취도 5단계+석차등급O</v>
          </cell>
        </row>
        <row r="247">
          <cell r="B247" t="str">
            <v>비교 문화</v>
          </cell>
          <cell r="C247" t="str">
            <v>진로</v>
          </cell>
          <cell r="D247">
            <v>4</v>
          </cell>
          <cell r="E247" t="str">
            <v>성취도 5단계+석차등급O</v>
          </cell>
        </row>
        <row r="248">
          <cell r="B248" t="str">
            <v>세계 문제와 미래 사회</v>
          </cell>
          <cell r="C248" t="str">
            <v>진로</v>
          </cell>
          <cell r="D248">
            <v>4</v>
          </cell>
          <cell r="E248" t="str">
            <v>성취도 5단계+석차등급O</v>
          </cell>
        </row>
        <row r="249">
          <cell r="B249" t="str">
            <v>국제 관계와 국제기구</v>
          </cell>
          <cell r="C249" t="str">
            <v>진로</v>
          </cell>
          <cell r="D249">
            <v>4</v>
          </cell>
          <cell r="E249" t="str">
            <v>성취도 5단계+석차등급O</v>
          </cell>
        </row>
        <row r="250">
          <cell r="B250" t="str">
            <v>현대 세계의 변화</v>
          </cell>
          <cell r="C250" t="str">
            <v>진로</v>
          </cell>
          <cell r="D250">
            <v>4</v>
          </cell>
          <cell r="E250" t="str">
            <v>성취도 5단계+석차등급O</v>
          </cell>
        </row>
        <row r="251">
          <cell r="B251" t="str">
            <v>사회 탐구 방법</v>
          </cell>
          <cell r="C251" t="str">
            <v>진로</v>
          </cell>
          <cell r="D251">
            <v>4</v>
          </cell>
          <cell r="E251" t="str">
            <v>성취도 5단계+석차등급O</v>
          </cell>
        </row>
        <row r="252">
          <cell r="B252" t="str">
            <v>사회과제연구</v>
          </cell>
          <cell r="C252" t="str">
            <v>진로</v>
          </cell>
          <cell r="D252">
            <v>4</v>
          </cell>
          <cell r="E252" t="str">
            <v>성취도 5단계+석차등급O</v>
          </cell>
        </row>
        <row r="253">
          <cell r="B253" t="str">
            <v>전공 기초 독일어</v>
          </cell>
          <cell r="C253" t="str">
            <v>진로</v>
          </cell>
          <cell r="D253">
            <v>4</v>
          </cell>
          <cell r="E253" t="str">
            <v>성취도 5단계+석차등급O</v>
          </cell>
        </row>
        <row r="254">
          <cell r="B254" t="str">
            <v>독일어 회화Ⅰ</v>
          </cell>
          <cell r="C254" t="str">
            <v>진로</v>
          </cell>
          <cell r="D254">
            <v>4</v>
          </cell>
          <cell r="E254" t="str">
            <v>성취도 5단계+석차등급O</v>
          </cell>
        </row>
        <row r="255">
          <cell r="B255" t="str">
            <v>독일어 회화Ⅱ</v>
          </cell>
          <cell r="C255" t="str">
            <v>진로</v>
          </cell>
          <cell r="D255">
            <v>4</v>
          </cell>
          <cell r="E255" t="str">
            <v>성취도 5단계+석차등급O</v>
          </cell>
        </row>
        <row r="256">
          <cell r="B256" t="str">
            <v>독일어 독해와 작문Ⅰ</v>
          </cell>
          <cell r="C256" t="str">
            <v>진로</v>
          </cell>
          <cell r="D256">
            <v>4</v>
          </cell>
          <cell r="E256" t="str">
            <v>성취도 5단계+석차등급O</v>
          </cell>
        </row>
        <row r="257">
          <cell r="B257" t="str">
            <v>독일어 독해와 작문Ⅱ</v>
          </cell>
          <cell r="C257" t="str">
            <v>진로</v>
          </cell>
          <cell r="D257">
            <v>4</v>
          </cell>
          <cell r="E257" t="str">
            <v>성취도 5단계+석차등급O</v>
          </cell>
        </row>
        <row r="258">
          <cell r="B258" t="str">
            <v>전공 기초 프랑스어</v>
          </cell>
          <cell r="C258" t="str">
            <v>진로</v>
          </cell>
          <cell r="D258">
            <v>4</v>
          </cell>
          <cell r="E258" t="str">
            <v>성취도 5단계+석차등급O</v>
          </cell>
        </row>
        <row r="259">
          <cell r="B259" t="str">
            <v>프랑스어 회화Ⅰ</v>
          </cell>
          <cell r="C259" t="str">
            <v>진로</v>
          </cell>
          <cell r="D259">
            <v>4</v>
          </cell>
          <cell r="E259" t="str">
            <v>성취도 5단계+석차등급O</v>
          </cell>
        </row>
        <row r="260">
          <cell r="B260" t="str">
            <v>프랑스어 회화Ⅱ</v>
          </cell>
          <cell r="C260" t="str">
            <v>진로</v>
          </cell>
          <cell r="D260">
            <v>4</v>
          </cell>
          <cell r="E260" t="str">
            <v>성취도 5단계+석차등급O</v>
          </cell>
        </row>
        <row r="261">
          <cell r="B261" t="str">
            <v>프랑스어 독해와 작문Ⅰ</v>
          </cell>
          <cell r="C261" t="str">
            <v>진로</v>
          </cell>
          <cell r="D261">
            <v>4</v>
          </cell>
          <cell r="E261" t="str">
            <v>성취도 5단계+석차등급O</v>
          </cell>
        </row>
        <row r="262">
          <cell r="B262" t="str">
            <v>프랑스어 독해와 작문Ⅱ</v>
          </cell>
          <cell r="C262" t="str">
            <v>진로</v>
          </cell>
          <cell r="D262">
            <v>4</v>
          </cell>
          <cell r="E262" t="str">
            <v>성취도 5단계+석차등급O</v>
          </cell>
        </row>
        <row r="263">
          <cell r="B263" t="str">
            <v>전공 기초 스페인어</v>
          </cell>
          <cell r="C263" t="str">
            <v>진로</v>
          </cell>
          <cell r="D263">
            <v>4</v>
          </cell>
          <cell r="E263" t="str">
            <v>성취도 5단계+석차등급O</v>
          </cell>
        </row>
        <row r="264">
          <cell r="B264" t="str">
            <v>스페인어 회화Ⅰ</v>
          </cell>
          <cell r="C264" t="str">
            <v>진로</v>
          </cell>
          <cell r="D264">
            <v>4</v>
          </cell>
          <cell r="E264" t="str">
            <v>성취도 5단계+석차등급O</v>
          </cell>
        </row>
        <row r="265">
          <cell r="B265" t="str">
            <v>스페인어 회화Ⅱ</v>
          </cell>
          <cell r="C265" t="str">
            <v>진로</v>
          </cell>
          <cell r="D265">
            <v>4</v>
          </cell>
          <cell r="E265" t="str">
            <v>성취도 5단계+석차등급O</v>
          </cell>
        </row>
        <row r="266">
          <cell r="B266" t="str">
            <v>스페인어 독해와 작문Ⅰ</v>
          </cell>
          <cell r="C266" t="str">
            <v>진로</v>
          </cell>
          <cell r="D266">
            <v>4</v>
          </cell>
          <cell r="E266" t="str">
            <v>성취도 5단계+석차등급O</v>
          </cell>
        </row>
        <row r="267">
          <cell r="B267" t="str">
            <v>스페인어 독해와 작문Ⅱ</v>
          </cell>
          <cell r="C267" t="str">
            <v>진로</v>
          </cell>
          <cell r="D267">
            <v>4</v>
          </cell>
          <cell r="E267" t="str">
            <v>성취도 5단계+석차등급O</v>
          </cell>
        </row>
        <row r="268">
          <cell r="B268" t="str">
            <v>전공 기초 중국어</v>
          </cell>
          <cell r="C268" t="str">
            <v>진로</v>
          </cell>
          <cell r="D268">
            <v>4</v>
          </cell>
          <cell r="E268" t="str">
            <v>성취도 5단계+석차등급O</v>
          </cell>
        </row>
        <row r="269">
          <cell r="B269" t="str">
            <v>중국어 회화Ⅰ</v>
          </cell>
          <cell r="C269" t="str">
            <v>진로</v>
          </cell>
          <cell r="D269">
            <v>4</v>
          </cell>
          <cell r="E269" t="str">
            <v>성취도 5단계+석차등급O</v>
          </cell>
        </row>
        <row r="270">
          <cell r="B270" t="str">
            <v>중국어 회화Ⅱ</v>
          </cell>
          <cell r="C270" t="str">
            <v>진로</v>
          </cell>
          <cell r="D270">
            <v>4</v>
          </cell>
          <cell r="E270" t="str">
            <v>성취도 5단계+석차등급O</v>
          </cell>
        </row>
        <row r="271">
          <cell r="B271" t="str">
            <v>중국어 독해와 작문Ⅰ</v>
          </cell>
          <cell r="C271" t="str">
            <v>진로</v>
          </cell>
          <cell r="D271">
            <v>4</v>
          </cell>
          <cell r="E271" t="str">
            <v>성취도 5단계+석차등급O</v>
          </cell>
        </row>
        <row r="272">
          <cell r="B272" t="str">
            <v>중국어 독해와 작문Ⅱ</v>
          </cell>
          <cell r="C272" t="str">
            <v>진로</v>
          </cell>
          <cell r="D272">
            <v>4</v>
          </cell>
          <cell r="E272" t="str">
            <v>성취도 5단계+석차등급O</v>
          </cell>
        </row>
        <row r="273">
          <cell r="B273" t="str">
            <v>전공 기초 일본어</v>
          </cell>
          <cell r="C273" t="str">
            <v>진로</v>
          </cell>
          <cell r="D273">
            <v>4</v>
          </cell>
          <cell r="E273" t="str">
            <v>성취도 5단계+석차등급O</v>
          </cell>
        </row>
        <row r="274">
          <cell r="B274" t="str">
            <v>일본어 회화Ⅰ</v>
          </cell>
          <cell r="C274" t="str">
            <v>진로</v>
          </cell>
          <cell r="D274">
            <v>4</v>
          </cell>
          <cell r="E274" t="str">
            <v>성취도 5단계+석차등급O</v>
          </cell>
        </row>
        <row r="275">
          <cell r="B275" t="str">
            <v>일본어 회화Ⅱ</v>
          </cell>
          <cell r="C275" t="str">
            <v>진로</v>
          </cell>
          <cell r="D275">
            <v>4</v>
          </cell>
          <cell r="E275" t="str">
            <v>성취도 5단계+석차등급O</v>
          </cell>
        </row>
        <row r="276">
          <cell r="B276" t="str">
            <v>일본어 독해와 작문Ⅰ</v>
          </cell>
          <cell r="C276" t="str">
            <v>진로</v>
          </cell>
          <cell r="D276">
            <v>4</v>
          </cell>
          <cell r="E276" t="str">
            <v>성취도 5단계+석차등급O</v>
          </cell>
        </row>
        <row r="277">
          <cell r="B277" t="str">
            <v>일본어 독해와 작문Ⅱ</v>
          </cell>
          <cell r="C277" t="str">
            <v>진로</v>
          </cell>
          <cell r="D277">
            <v>4</v>
          </cell>
          <cell r="E277" t="str">
            <v>성취도 5단계+석차등급O</v>
          </cell>
        </row>
        <row r="278">
          <cell r="B278" t="str">
            <v>전공 기초 러시아어</v>
          </cell>
          <cell r="C278" t="str">
            <v>진로</v>
          </cell>
          <cell r="D278">
            <v>4</v>
          </cell>
          <cell r="E278" t="str">
            <v>성취도 5단계+석차등급O</v>
          </cell>
        </row>
        <row r="279">
          <cell r="B279" t="str">
            <v>러시아어 회화Ⅰ</v>
          </cell>
          <cell r="C279" t="str">
            <v>진로</v>
          </cell>
          <cell r="D279">
            <v>4</v>
          </cell>
          <cell r="E279" t="str">
            <v>성취도 5단계+석차등급O</v>
          </cell>
        </row>
        <row r="280">
          <cell r="B280" t="str">
            <v>러시아어 회화Ⅱ</v>
          </cell>
          <cell r="C280" t="str">
            <v>진로</v>
          </cell>
          <cell r="D280">
            <v>4</v>
          </cell>
          <cell r="E280" t="str">
            <v>성취도 5단계+석차등급O</v>
          </cell>
        </row>
        <row r="281">
          <cell r="B281" t="str">
            <v>러시아어 독해와 작문Ⅰ</v>
          </cell>
          <cell r="C281" t="str">
            <v>진로</v>
          </cell>
          <cell r="D281">
            <v>4</v>
          </cell>
          <cell r="E281" t="str">
            <v>성취도 5단계+석차등급O</v>
          </cell>
        </row>
        <row r="282">
          <cell r="B282" t="str">
            <v>러시아어 독해와 작문Ⅱ</v>
          </cell>
          <cell r="C282" t="str">
            <v>진로</v>
          </cell>
          <cell r="D282">
            <v>4</v>
          </cell>
          <cell r="E282" t="str">
            <v>성취도 5단계+석차등급O</v>
          </cell>
        </row>
        <row r="283">
          <cell r="B283" t="str">
            <v>전공 기초 아랍어</v>
          </cell>
          <cell r="C283" t="str">
            <v>진로</v>
          </cell>
          <cell r="D283">
            <v>4</v>
          </cell>
          <cell r="E283" t="str">
            <v>성취도 5단계+석차등급O</v>
          </cell>
        </row>
        <row r="284">
          <cell r="B284" t="str">
            <v>아랍어 회화Ⅰ</v>
          </cell>
          <cell r="C284" t="str">
            <v>진로</v>
          </cell>
          <cell r="D284">
            <v>4</v>
          </cell>
          <cell r="E284" t="str">
            <v>성취도 5단계+석차등급O</v>
          </cell>
        </row>
        <row r="285">
          <cell r="B285" t="str">
            <v>아랍어 회화Ⅱ</v>
          </cell>
          <cell r="C285" t="str">
            <v>진로</v>
          </cell>
          <cell r="D285">
            <v>4</v>
          </cell>
          <cell r="E285" t="str">
            <v>성취도 5단계+석차등급O</v>
          </cell>
        </row>
        <row r="286">
          <cell r="B286" t="str">
            <v>아랍어 독해와 작문Ⅰ</v>
          </cell>
          <cell r="C286" t="str">
            <v>진로</v>
          </cell>
          <cell r="D286">
            <v>4</v>
          </cell>
          <cell r="E286" t="str">
            <v>성취도 5단계+석차등급O</v>
          </cell>
        </row>
        <row r="287">
          <cell r="B287" t="str">
            <v>아랍어 독해와 작문Ⅱ</v>
          </cell>
          <cell r="C287" t="str">
            <v>진로</v>
          </cell>
          <cell r="D287">
            <v>4</v>
          </cell>
          <cell r="E287" t="str">
            <v>성취도 5단계+석차등급O</v>
          </cell>
        </row>
        <row r="288">
          <cell r="B288" t="str">
            <v>전공 기초 베트남어</v>
          </cell>
          <cell r="C288" t="str">
            <v>진로</v>
          </cell>
          <cell r="D288">
            <v>4</v>
          </cell>
          <cell r="E288" t="str">
            <v>성취도 5단계+석차등급O</v>
          </cell>
        </row>
        <row r="289">
          <cell r="B289" t="str">
            <v>베트남어 회화Ⅰ</v>
          </cell>
          <cell r="C289" t="str">
            <v>진로</v>
          </cell>
          <cell r="D289">
            <v>4</v>
          </cell>
          <cell r="E289" t="str">
            <v>성취도 5단계+석차등급O</v>
          </cell>
        </row>
        <row r="290">
          <cell r="B290" t="str">
            <v>베트남어 회화Ⅱ</v>
          </cell>
          <cell r="C290" t="str">
            <v>진로</v>
          </cell>
          <cell r="D290">
            <v>4</v>
          </cell>
          <cell r="E290" t="str">
            <v>성취도 5단계+석차등급O</v>
          </cell>
        </row>
        <row r="291">
          <cell r="B291" t="str">
            <v>베트남어 독해와 작문Ⅰ</v>
          </cell>
          <cell r="C291" t="str">
            <v>진로</v>
          </cell>
          <cell r="D291">
            <v>4</v>
          </cell>
          <cell r="E291" t="str">
            <v>성취도 5단계+석차등급O</v>
          </cell>
        </row>
        <row r="292">
          <cell r="B292" t="str">
            <v>베트남어 독해와 작문Ⅱ</v>
          </cell>
          <cell r="C292" t="str">
            <v>진로</v>
          </cell>
          <cell r="D292">
            <v>4</v>
          </cell>
          <cell r="E292" t="str">
            <v>성취도 5단계+석차등급O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EF6CB-FC29-4B5C-A9CF-796C2B4AD027}">
  <sheetPr>
    <pageSetUpPr fitToPage="1"/>
  </sheetPr>
  <dimension ref="A1:O108"/>
  <sheetViews>
    <sheetView tabSelected="1" zoomScaleNormal="100" workbookViewId="0">
      <selection activeCell="G10" sqref="G10"/>
    </sheetView>
  </sheetViews>
  <sheetFormatPr defaultRowHeight="16.5"/>
  <cols>
    <col min="1" max="1" width="9" style="3"/>
    <col min="2" max="2" width="10.125" style="3" bestFit="1" customWidth="1"/>
    <col min="3" max="3" width="9" style="3"/>
    <col min="4" max="4" width="26.75" style="3" bestFit="1" customWidth="1"/>
    <col min="5" max="14" width="9" style="3"/>
    <col min="15" max="15" width="24.625" style="3" bestFit="1" customWidth="1"/>
    <col min="16" max="16384" width="9" style="3"/>
  </cols>
  <sheetData>
    <row r="1" spans="1:15" ht="26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8" thickBot="1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>
      <c r="A3" s="6" t="s">
        <v>2</v>
      </c>
      <c r="B3" s="7" t="s">
        <v>3</v>
      </c>
      <c r="C3" s="8" t="s">
        <v>4</v>
      </c>
      <c r="D3" s="7" t="s">
        <v>5</v>
      </c>
      <c r="E3" s="8" t="s">
        <v>6</v>
      </c>
      <c r="F3" s="9" t="s">
        <v>7</v>
      </c>
      <c r="G3" s="10" t="s">
        <v>8</v>
      </c>
      <c r="H3" s="11"/>
      <c r="I3" s="12" t="s">
        <v>9</v>
      </c>
      <c r="J3" s="11"/>
      <c r="K3" s="12" t="s">
        <v>10</v>
      </c>
      <c r="L3" s="11"/>
      <c r="M3" s="13" t="s">
        <v>11</v>
      </c>
      <c r="N3" s="14"/>
      <c r="O3" s="15" t="s">
        <v>12</v>
      </c>
    </row>
    <row r="4" spans="1:15" ht="17.25" thickBot="1">
      <c r="A4" s="16"/>
      <c r="B4" s="17"/>
      <c r="C4" s="17"/>
      <c r="D4" s="17"/>
      <c r="E4" s="17"/>
      <c r="F4" s="18"/>
      <c r="G4" s="19" t="s">
        <v>13</v>
      </c>
      <c r="H4" s="20" t="s">
        <v>14</v>
      </c>
      <c r="I4" s="20" t="s">
        <v>13</v>
      </c>
      <c r="J4" s="20" t="s">
        <v>14</v>
      </c>
      <c r="K4" s="20" t="s">
        <v>13</v>
      </c>
      <c r="L4" s="20" t="s">
        <v>14</v>
      </c>
      <c r="M4" s="20" t="s">
        <v>3</v>
      </c>
      <c r="N4" s="21" t="s">
        <v>15</v>
      </c>
      <c r="O4" s="22"/>
    </row>
    <row r="5" spans="1:15">
      <c r="A5" s="23" t="s">
        <v>16</v>
      </c>
      <c r="B5" s="24" t="s">
        <v>17</v>
      </c>
      <c r="C5" s="25" t="str">
        <f>VLOOKUP(D5,[1]숨김!$B$3:$E$300,2,0)</f>
        <v>공통</v>
      </c>
      <c r="D5" s="25" t="s">
        <v>18</v>
      </c>
      <c r="E5" s="25">
        <f>VLOOKUP(D5,[1]숨김!$B$3:$E$300,3,0)</f>
        <v>4</v>
      </c>
      <c r="F5" s="26">
        <v>3</v>
      </c>
      <c r="G5" s="27">
        <v>3</v>
      </c>
      <c r="H5" s="28"/>
      <c r="I5" s="28"/>
      <c r="J5" s="28"/>
      <c r="K5" s="28"/>
      <c r="L5" s="28"/>
      <c r="M5" s="29">
        <f>SUM(G5:L9)</f>
        <v>17</v>
      </c>
      <c r="N5" s="30">
        <f>SUM(M5,M10,M15)</f>
        <v>52</v>
      </c>
      <c r="O5" s="31" t="str">
        <f>VLOOKUP(D5,[1]숨김!$B$3:$E$300,4,0)</f>
        <v>성취도 5단계+석차등급O</v>
      </c>
    </row>
    <row r="6" spans="1:15">
      <c r="A6" s="32"/>
      <c r="B6" s="33"/>
      <c r="C6" s="34" t="str">
        <f>VLOOKUP(D6,[1]숨김!$B$3:$E$300,2,0)</f>
        <v>공통</v>
      </c>
      <c r="D6" s="34" t="s">
        <v>19</v>
      </c>
      <c r="E6" s="34">
        <f>VLOOKUP(D6,[1]숨김!$B$3:$E$300,3,0)</f>
        <v>4</v>
      </c>
      <c r="F6" s="35">
        <v>3</v>
      </c>
      <c r="G6" s="27"/>
      <c r="H6" s="28">
        <v>3</v>
      </c>
      <c r="I6" s="28"/>
      <c r="J6" s="28"/>
      <c r="K6" s="28"/>
      <c r="L6" s="28"/>
      <c r="M6" s="33"/>
      <c r="N6" s="36"/>
      <c r="O6" s="31" t="str">
        <f>VLOOKUP(D6,[1]숨김!$B$3:$E$300,4,0)</f>
        <v>성취도 5단계+석차등급O</v>
      </c>
    </row>
    <row r="7" spans="1:15">
      <c r="A7" s="32"/>
      <c r="B7" s="33"/>
      <c r="C7" s="37" t="s">
        <v>20</v>
      </c>
      <c r="D7" s="38" t="s">
        <v>21</v>
      </c>
      <c r="E7" s="38">
        <v>4</v>
      </c>
      <c r="F7" s="39">
        <v>4</v>
      </c>
      <c r="G7" s="40"/>
      <c r="H7" s="41"/>
      <c r="I7" s="41">
        <v>4</v>
      </c>
      <c r="J7" s="41"/>
      <c r="K7" s="41"/>
      <c r="L7" s="41"/>
      <c r="M7" s="33"/>
      <c r="N7" s="36"/>
      <c r="O7" s="31" t="str">
        <f>VLOOKUP(D7,[1]숨김!$B$3:$E$300,4,0)</f>
        <v>성취도 5단계+석차등급O</v>
      </c>
    </row>
    <row r="8" spans="1:15">
      <c r="A8" s="32"/>
      <c r="B8" s="33"/>
      <c r="C8" s="37" t="s">
        <v>20</v>
      </c>
      <c r="D8" s="42" t="s">
        <v>22</v>
      </c>
      <c r="E8" s="38">
        <v>4</v>
      </c>
      <c r="F8" s="39">
        <v>3</v>
      </c>
      <c r="G8" s="40"/>
      <c r="H8" s="41"/>
      <c r="I8" s="41"/>
      <c r="J8" s="41">
        <v>3</v>
      </c>
      <c r="K8" s="41"/>
      <c r="L8" s="41"/>
      <c r="M8" s="33"/>
      <c r="N8" s="36"/>
      <c r="O8" s="31" t="s">
        <v>23</v>
      </c>
    </row>
    <row r="9" spans="1:15">
      <c r="A9" s="32"/>
      <c r="B9" s="33"/>
      <c r="C9" s="37" t="s">
        <v>20</v>
      </c>
      <c r="D9" s="42" t="s">
        <v>24</v>
      </c>
      <c r="E9" s="38">
        <v>4</v>
      </c>
      <c r="F9" s="39">
        <v>4</v>
      </c>
      <c r="G9" s="40"/>
      <c r="H9" s="41"/>
      <c r="I9" s="41"/>
      <c r="J9" s="41"/>
      <c r="K9" s="41">
        <v>4</v>
      </c>
      <c r="L9" s="41"/>
      <c r="M9" s="33"/>
      <c r="N9" s="36"/>
      <c r="O9" s="31" t="str">
        <f>VLOOKUP(D9,[1]숨김!$B$3:$E$300,4,0)</f>
        <v>성취도 5단계+석차등급O</v>
      </c>
    </row>
    <row r="10" spans="1:15">
      <c r="A10" s="32"/>
      <c r="B10" s="43" t="s">
        <v>25</v>
      </c>
      <c r="C10" s="34" t="str">
        <f>VLOOKUP(D10,[1]숨김!$B$3:$E$300,2,0)</f>
        <v>공통</v>
      </c>
      <c r="D10" s="44" t="s">
        <v>26</v>
      </c>
      <c r="E10" s="34">
        <f>VLOOKUP(D10,[1]숨김!$B$3:$E$300,3,0)</f>
        <v>4</v>
      </c>
      <c r="F10" s="35">
        <v>3</v>
      </c>
      <c r="G10" s="45">
        <v>3</v>
      </c>
      <c r="H10" s="46"/>
      <c r="I10" s="46"/>
      <c r="J10" s="46"/>
      <c r="K10" s="46"/>
      <c r="L10" s="47"/>
      <c r="M10" s="48">
        <f t="shared" ref="M10" si="0">SUM(G10:L14)</f>
        <v>17</v>
      </c>
      <c r="N10" s="49"/>
      <c r="O10" s="31" t="str">
        <f>VLOOKUP(D10,[1]숨김!$B$3:$E$300,4,0)</f>
        <v>성취도 5단계+석차등급O</v>
      </c>
    </row>
    <row r="11" spans="1:15">
      <c r="A11" s="32"/>
      <c r="B11" s="33"/>
      <c r="C11" s="34" t="str">
        <f>VLOOKUP(D11,[1]숨김!$B$3:$E$300,2,0)</f>
        <v>공통</v>
      </c>
      <c r="D11" s="44" t="s">
        <v>27</v>
      </c>
      <c r="E11" s="34">
        <f>VLOOKUP(D11,[1]숨김!$B$3:$E$300,3,0)</f>
        <v>4</v>
      </c>
      <c r="F11" s="35">
        <v>3</v>
      </c>
      <c r="G11" s="45"/>
      <c r="H11" s="46">
        <v>3</v>
      </c>
      <c r="I11" s="46"/>
      <c r="J11" s="46"/>
      <c r="K11" s="46"/>
      <c r="L11" s="47"/>
      <c r="M11" s="50"/>
      <c r="N11" s="49"/>
      <c r="O11" s="31" t="str">
        <f>VLOOKUP(D11,[1]숨김!$B$3:$E$300,4,0)</f>
        <v>성취도 5단계+석차등급O</v>
      </c>
    </row>
    <row r="12" spans="1:15">
      <c r="A12" s="32"/>
      <c r="B12" s="33"/>
      <c r="C12" s="37" t="s">
        <v>20</v>
      </c>
      <c r="D12" s="38" t="s">
        <v>28</v>
      </c>
      <c r="E12" s="38">
        <v>4</v>
      </c>
      <c r="F12" s="39">
        <v>3</v>
      </c>
      <c r="G12" s="45"/>
      <c r="H12" s="46"/>
      <c r="I12" s="46">
        <v>3</v>
      </c>
      <c r="J12" s="46"/>
      <c r="K12" s="46"/>
      <c r="L12" s="47"/>
      <c r="M12" s="50"/>
      <c r="N12" s="49"/>
      <c r="O12" s="31" t="str">
        <f>VLOOKUP(D12,[1]숨김!$B$3:$E$300,4,0)</f>
        <v>성취도 5단계+석차등급O</v>
      </c>
    </row>
    <row r="13" spans="1:15">
      <c r="A13" s="32"/>
      <c r="B13" s="33"/>
      <c r="C13" s="37" t="s">
        <v>20</v>
      </c>
      <c r="D13" s="42" t="s">
        <v>29</v>
      </c>
      <c r="E13" s="38">
        <v>4</v>
      </c>
      <c r="F13" s="39">
        <v>4</v>
      </c>
      <c r="G13" s="45"/>
      <c r="H13" s="46"/>
      <c r="I13" s="46"/>
      <c r="J13" s="46">
        <v>4</v>
      </c>
      <c r="K13" s="46"/>
      <c r="L13" s="47"/>
      <c r="M13" s="50"/>
      <c r="N13" s="49"/>
      <c r="O13" s="31" t="s">
        <v>23</v>
      </c>
    </row>
    <row r="14" spans="1:15">
      <c r="A14" s="32"/>
      <c r="B14" s="33"/>
      <c r="C14" s="37" t="s">
        <v>20</v>
      </c>
      <c r="D14" s="38" t="s">
        <v>30</v>
      </c>
      <c r="E14" s="38">
        <v>4</v>
      </c>
      <c r="F14" s="39">
        <v>4</v>
      </c>
      <c r="G14" s="45"/>
      <c r="H14" s="46"/>
      <c r="I14" s="46"/>
      <c r="J14" s="46"/>
      <c r="K14" s="46">
        <v>4</v>
      </c>
      <c r="L14" s="47"/>
      <c r="M14" s="50"/>
      <c r="N14" s="49"/>
      <c r="O14" s="31" t="str">
        <f>VLOOKUP(D14,[1]숨김!$B$3:$E$300,4,0)</f>
        <v>성취도 5단계+석차등급O</v>
      </c>
    </row>
    <row r="15" spans="1:15">
      <c r="A15" s="32"/>
      <c r="B15" s="43" t="s">
        <v>31</v>
      </c>
      <c r="C15" s="34" t="str">
        <f>VLOOKUP(D15,[1]숨김!$B$3:$E$300,2,0)</f>
        <v>공통</v>
      </c>
      <c r="D15" s="44" t="s">
        <v>32</v>
      </c>
      <c r="E15" s="34">
        <f>VLOOKUP(D15,[1]숨김!$B$3:$E$300,3,0)</f>
        <v>4</v>
      </c>
      <c r="F15" s="35">
        <v>3</v>
      </c>
      <c r="G15" s="45">
        <v>3</v>
      </c>
      <c r="H15" s="46"/>
      <c r="I15" s="46"/>
      <c r="J15" s="46"/>
      <c r="K15" s="46"/>
      <c r="L15" s="46"/>
      <c r="M15" s="51">
        <f t="shared" ref="M15" si="1">SUM(G15:L19)</f>
        <v>18</v>
      </c>
      <c r="N15" s="36"/>
      <c r="O15" s="31" t="str">
        <f>VLOOKUP(D15,[1]숨김!$B$3:$E$300,4,0)</f>
        <v>성취도 5단계+석차등급O</v>
      </c>
    </row>
    <row r="16" spans="1:15">
      <c r="A16" s="32"/>
      <c r="B16" s="33"/>
      <c r="C16" s="34" t="str">
        <f>VLOOKUP(D16,[1]숨김!$B$3:$E$300,2,0)</f>
        <v>공통</v>
      </c>
      <c r="D16" s="44" t="s">
        <v>33</v>
      </c>
      <c r="E16" s="34">
        <f>VLOOKUP(D16,[1]숨김!$B$3:$E$300,3,0)</f>
        <v>4</v>
      </c>
      <c r="F16" s="35">
        <v>3</v>
      </c>
      <c r="G16" s="45"/>
      <c r="H16" s="46">
        <v>3</v>
      </c>
      <c r="I16" s="46"/>
      <c r="J16" s="46"/>
      <c r="K16" s="46"/>
      <c r="L16" s="46"/>
      <c r="M16" s="33"/>
      <c r="N16" s="36"/>
      <c r="O16" s="31" t="str">
        <f>VLOOKUP(D16,[1]숨김!$B$3:$E$300,4,0)</f>
        <v>성취도 5단계+석차등급O</v>
      </c>
    </row>
    <row r="17" spans="1:15">
      <c r="A17" s="32"/>
      <c r="B17" s="33"/>
      <c r="C17" s="37" t="s">
        <v>20</v>
      </c>
      <c r="D17" s="42" t="s">
        <v>34</v>
      </c>
      <c r="E17" s="38">
        <v>4</v>
      </c>
      <c r="F17" s="39">
        <v>4</v>
      </c>
      <c r="G17" s="45"/>
      <c r="H17" s="46"/>
      <c r="I17" s="46">
        <v>4</v>
      </c>
      <c r="J17" s="46"/>
      <c r="K17" s="46"/>
      <c r="L17" s="46"/>
      <c r="M17" s="33"/>
      <c r="N17" s="36"/>
      <c r="O17" s="31" t="s">
        <v>23</v>
      </c>
    </row>
    <row r="18" spans="1:15">
      <c r="A18" s="32"/>
      <c r="B18" s="33"/>
      <c r="C18" s="37" t="s">
        <v>20</v>
      </c>
      <c r="D18" s="42" t="s">
        <v>35</v>
      </c>
      <c r="E18" s="38">
        <v>4</v>
      </c>
      <c r="F18" s="39">
        <v>4</v>
      </c>
      <c r="G18" s="45"/>
      <c r="H18" s="46"/>
      <c r="I18" s="46"/>
      <c r="J18" s="46">
        <v>4</v>
      </c>
      <c r="K18" s="46"/>
      <c r="L18" s="46"/>
      <c r="M18" s="33"/>
      <c r="N18" s="36"/>
      <c r="O18" s="31" t="s">
        <v>23</v>
      </c>
    </row>
    <row r="19" spans="1:15">
      <c r="A19" s="32"/>
      <c r="B19" s="33"/>
      <c r="C19" s="37" t="s">
        <v>20</v>
      </c>
      <c r="D19" s="38" t="s">
        <v>36</v>
      </c>
      <c r="E19" s="38">
        <v>4</v>
      </c>
      <c r="F19" s="39">
        <v>4</v>
      </c>
      <c r="G19" s="45"/>
      <c r="H19" s="46"/>
      <c r="I19" s="46"/>
      <c r="J19" s="46"/>
      <c r="K19" s="46">
        <v>4</v>
      </c>
      <c r="L19" s="46"/>
      <c r="M19" s="33"/>
      <c r="N19" s="52"/>
      <c r="O19" s="31" t="str">
        <f>VLOOKUP(D19,[1]숨김!$B$3:$E$300,4,0)</f>
        <v>성취도 5단계+석차등급O</v>
      </c>
    </row>
    <row r="20" spans="1:15">
      <c r="A20" s="32"/>
      <c r="B20" s="43" t="s">
        <v>37</v>
      </c>
      <c r="C20" s="34" t="str">
        <f>VLOOKUP(D20,[1]숨김!$B$3:$E$300,2,0)</f>
        <v>공통</v>
      </c>
      <c r="D20" s="44" t="s">
        <v>38</v>
      </c>
      <c r="E20" s="34">
        <f>VLOOKUP(D20,[1]숨김!$B$3:$E$300,3,0)</f>
        <v>3</v>
      </c>
      <c r="F20" s="35">
        <v>3</v>
      </c>
      <c r="G20" s="45">
        <v>3</v>
      </c>
      <c r="H20" s="46"/>
      <c r="I20" s="46"/>
      <c r="J20" s="46"/>
      <c r="K20" s="46"/>
      <c r="L20" s="46"/>
      <c r="M20" s="53">
        <f>SUM(G20:L21)</f>
        <v>6</v>
      </c>
      <c r="N20" s="54"/>
      <c r="O20" s="31" t="str">
        <f>VLOOKUP(D20,[1]숨김!$B$3:$E$300,4,0)</f>
        <v>성취도 5단계+석차등급O</v>
      </c>
    </row>
    <row r="21" spans="1:15">
      <c r="A21" s="32"/>
      <c r="B21" s="51"/>
      <c r="C21" s="34" t="str">
        <f>VLOOKUP(D21,[1]숨김!$B$3:$E$300,2,0)</f>
        <v>공통</v>
      </c>
      <c r="D21" s="44" t="s">
        <v>39</v>
      </c>
      <c r="E21" s="34">
        <f>VLOOKUP(D21,[1]숨김!$B$3:$E$300,3,0)</f>
        <v>3</v>
      </c>
      <c r="F21" s="35">
        <v>3</v>
      </c>
      <c r="G21" s="45"/>
      <c r="H21" s="46">
        <v>3</v>
      </c>
      <c r="I21" s="46"/>
      <c r="J21" s="46"/>
      <c r="K21" s="46"/>
      <c r="L21" s="46"/>
      <c r="M21" s="55"/>
      <c r="N21" s="56"/>
      <c r="O21" s="31" t="str">
        <f>VLOOKUP(D21,[1]숨김!$B$3:$E$300,4,0)</f>
        <v>성취도 5단계+석차등급O</v>
      </c>
    </row>
    <row r="22" spans="1:15">
      <c r="A22" s="32"/>
      <c r="B22" s="51"/>
      <c r="C22" s="34" t="str">
        <f>VLOOKUP(D22,[1]숨김!$B$3:$E$300,2,0)</f>
        <v>공통</v>
      </c>
      <c r="D22" s="44" t="s">
        <v>40</v>
      </c>
      <c r="E22" s="34">
        <f>VLOOKUP(D22,[1]숨김!$B$3:$E$300,3,0)</f>
        <v>4</v>
      </c>
      <c r="F22" s="35">
        <v>3</v>
      </c>
      <c r="G22" s="45">
        <v>3</v>
      </c>
      <c r="H22" s="46"/>
      <c r="I22" s="46"/>
      <c r="J22" s="46"/>
      <c r="K22" s="46"/>
      <c r="L22" s="46"/>
      <c r="M22" s="53">
        <f>SUM(G22:L23)</f>
        <v>6</v>
      </c>
      <c r="N22" s="54"/>
      <c r="O22" s="31" t="str">
        <f>VLOOKUP(D22,[1]숨김!$B$3:$E$300,4,0)</f>
        <v>성취도 5단계+석차등급O</v>
      </c>
    </row>
    <row r="23" spans="1:15">
      <c r="A23" s="32"/>
      <c r="B23" s="57"/>
      <c r="C23" s="34" t="str">
        <f>VLOOKUP(D23,[1]숨김!$B$3:$E$300,2,0)</f>
        <v>공통</v>
      </c>
      <c r="D23" s="44" t="s">
        <v>41</v>
      </c>
      <c r="E23" s="34">
        <f>VLOOKUP(D23,[1]숨김!$B$3:$E$300,3,0)</f>
        <v>4</v>
      </c>
      <c r="F23" s="35">
        <v>3</v>
      </c>
      <c r="G23" s="45"/>
      <c r="H23" s="46">
        <v>3</v>
      </c>
      <c r="I23" s="46"/>
      <c r="J23" s="46"/>
      <c r="K23" s="46"/>
      <c r="L23" s="46"/>
      <c r="M23" s="55"/>
      <c r="N23" s="56"/>
      <c r="O23" s="31" t="str">
        <f>VLOOKUP(D23,[1]숨김!$B$3:$E$300,4,0)</f>
        <v>성취도 5단계+석차등급O</v>
      </c>
    </row>
    <row r="24" spans="1:15">
      <c r="A24" s="32"/>
      <c r="B24" s="43" t="s">
        <v>42</v>
      </c>
      <c r="C24" s="34" t="str">
        <f>VLOOKUP(D24,[1]숨김!$B$3:$E$300,2,0)</f>
        <v>공통</v>
      </c>
      <c r="D24" s="44" t="s">
        <v>43</v>
      </c>
      <c r="E24" s="34">
        <f>VLOOKUP(D24,[1]숨김!$B$3:$E$300,3,0)</f>
        <v>4</v>
      </c>
      <c r="F24" s="35">
        <v>3</v>
      </c>
      <c r="G24" s="45">
        <v>3</v>
      </c>
      <c r="H24" s="46"/>
      <c r="I24" s="46"/>
      <c r="J24" s="46"/>
      <c r="K24" s="46"/>
      <c r="L24" s="46"/>
      <c r="M24" s="53">
        <f>SUM(G24:L27)</f>
        <v>8</v>
      </c>
      <c r="N24" s="58"/>
      <c r="O24" s="31" t="str">
        <f>VLOOKUP(D24,[1]숨김!$B$3:$E$300,4,0)</f>
        <v>성취도 5단계+석차등급O</v>
      </c>
    </row>
    <row r="25" spans="1:15">
      <c r="A25" s="32"/>
      <c r="B25" s="33"/>
      <c r="C25" s="34" t="str">
        <f>VLOOKUP(D25,[1]숨김!$B$3:$E$300,2,0)</f>
        <v>공통</v>
      </c>
      <c r="D25" s="44" t="s">
        <v>44</v>
      </c>
      <c r="E25" s="34">
        <f>VLOOKUP(D25,[1]숨김!$B$3:$E$300,3,0)</f>
        <v>4</v>
      </c>
      <c r="F25" s="35">
        <v>3</v>
      </c>
      <c r="G25" s="45"/>
      <c r="H25" s="46">
        <v>3</v>
      </c>
      <c r="I25" s="46"/>
      <c r="J25" s="46"/>
      <c r="K25" s="46"/>
      <c r="L25" s="46"/>
      <c r="M25" s="59"/>
      <c r="N25" s="60"/>
      <c r="O25" s="31" t="str">
        <f>VLOOKUP(D25,[1]숨김!$B$3:$E$300,4,0)</f>
        <v>성취도 5단계+석차등급O</v>
      </c>
    </row>
    <row r="26" spans="1:15">
      <c r="A26" s="32"/>
      <c r="B26" s="33"/>
      <c r="C26" s="34" t="str">
        <f>VLOOKUP(D26,[1]숨김!$B$3:$E$300,2,0)</f>
        <v>공통</v>
      </c>
      <c r="D26" s="44" t="s">
        <v>45</v>
      </c>
      <c r="E26" s="34">
        <f>VLOOKUP(D26,[1]숨김!$B$3:$E$300,3,0)</f>
        <v>1</v>
      </c>
      <c r="F26" s="35">
        <v>1</v>
      </c>
      <c r="G26" s="45">
        <v>1</v>
      </c>
      <c r="H26" s="46"/>
      <c r="I26" s="46"/>
      <c r="J26" s="46"/>
      <c r="K26" s="46"/>
      <c r="L26" s="46"/>
      <c r="M26" s="59"/>
      <c r="N26" s="60"/>
      <c r="O26" s="31" t="str">
        <f>VLOOKUP(D26,[1]숨김!$B$3:$E$300,4,0)</f>
        <v>성취도 3단계</v>
      </c>
    </row>
    <row r="27" spans="1:15">
      <c r="A27" s="32"/>
      <c r="B27" s="61"/>
      <c r="C27" s="34" t="str">
        <f>VLOOKUP(D27,[1]숨김!$B$3:$E$300,2,0)</f>
        <v>공통</v>
      </c>
      <c r="D27" s="44" t="s">
        <v>46</v>
      </c>
      <c r="E27" s="34">
        <f>VLOOKUP(D27,[1]숨김!$B$3:$E$300,3,0)</f>
        <v>1</v>
      </c>
      <c r="F27" s="35">
        <v>1</v>
      </c>
      <c r="G27" s="45"/>
      <c r="H27" s="46">
        <v>1</v>
      </c>
      <c r="I27" s="46"/>
      <c r="J27" s="46"/>
      <c r="K27" s="46"/>
      <c r="L27" s="46"/>
      <c r="M27" s="62"/>
      <c r="N27" s="63"/>
      <c r="O27" s="31" t="str">
        <f>VLOOKUP(D27,[1]숨김!$B$3:$E$300,4,0)</f>
        <v>성취도 3단계</v>
      </c>
    </row>
    <row r="28" spans="1:15">
      <c r="A28" s="32"/>
      <c r="B28" s="43" t="s">
        <v>47</v>
      </c>
      <c r="C28" s="37" t="s">
        <v>20</v>
      </c>
      <c r="D28" s="38" t="s">
        <v>48</v>
      </c>
      <c r="E28" s="38">
        <v>3</v>
      </c>
      <c r="F28" s="39">
        <v>2</v>
      </c>
      <c r="G28" s="40">
        <v>2</v>
      </c>
      <c r="H28" s="41"/>
      <c r="I28" s="41"/>
      <c r="J28" s="41"/>
      <c r="K28" s="41"/>
      <c r="L28" s="41"/>
      <c r="M28" s="53">
        <f>SUM(G28:L33)</f>
        <v>10</v>
      </c>
      <c r="N28" s="54"/>
      <c r="O28" s="31" t="str">
        <f>VLOOKUP(D28,[1]숨김!$B$3:$E$300,4,0)</f>
        <v>성취도 3단계</v>
      </c>
    </row>
    <row r="29" spans="1:15">
      <c r="A29" s="32"/>
      <c r="B29" s="33"/>
      <c r="C29" s="37" t="s">
        <v>20</v>
      </c>
      <c r="D29" s="38" t="s">
        <v>49</v>
      </c>
      <c r="E29" s="38">
        <v>3</v>
      </c>
      <c r="F29" s="39">
        <v>2</v>
      </c>
      <c r="G29" s="40"/>
      <c r="H29" s="41">
        <v>2</v>
      </c>
      <c r="I29" s="41"/>
      <c r="J29" s="41"/>
      <c r="K29" s="41"/>
      <c r="L29" s="41"/>
      <c r="M29" s="64"/>
      <c r="N29" s="49"/>
      <c r="O29" s="31" t="str">
        <f>VLOOKUP(D29,[1]숨김!$B$3:$E$300,4,0)</f>
        <v>성취도 3단계</v>
      </c>
    </row>
    <row r="30" spans="1:15">
      <c r="A30" s="32"/>
      <c r="B30" s="33"/>
      <c r="C30" s="37" t="s">
        <v>50</v>
      </c>
      <c r="D30" s="38" t="s">
        <v>51</v>
      </c>
      <c r="E30" s="38">
        <v>2</v>
      </c>
      <c r="F30" s="39">
        <v>1</v>
      </c>
      <c r="G30" s="40"/>
      <c r="H30" s="41"/>
      <c r="I30" s="41">
        <v>1</v>
      </c>
      <c r="J30" s="41"/>
      <c r="K30" s="41"/>
      <c r="L30" s="41"/>
      <c r="M30" s="64"/>
      <c r="N30" s="49"/>
      <c r="O30" s="31" t="str">
        <f>VLOOKUP(D30,[1]숨김!$B$3:$E$300,4,0)</f>
        <v>성취도 3단계</v>
      </c>
    </row>
    <row r="31" spans="1:15">
      <c r="A31" s="32"/>
      <c r="B31" s="33"/>
      <c r="C31" s="37" t="s">
        <v>50</v>
      </c>
      <c r="D31" s="38" t="s">
        <v>52</v>
      </c>
      <c r="E31" s="38">
        <v>2</v>
      </c>
      <c r="F31" s="39">
        <v>1</v>
      </c>
      <c r="G31" s="40"/>
      <c r="H31" s="41"/>
      <c r="I31" s="41"/>
      <c r="J31" s="41">
        <v>1</v>
      </c>
      <c r="K31" s="41"/>
      <c r="L31" s="41"/>
      <c r="M31" s="64"/>
      <c r="N31" s="49"/>
      <c r="O31" s="31" t="str">
        <f>VLOOKUP(D31,[1]숨김!$B$3:$E$300,4,0)</f>
        <v>성취도 3단계</v>
      </c>
    </row>
    <row r="32" spans="1:15">
      <c r="A32" s="32"/>
      <c r="B32" s="33"/>
      <c r="C32" s="37" t="s">
        <v>53</v>
      </c>
      <c r="D32" s="42" t="s">
        <v>54</v>
      </c>
      <c r="E32" s="38">
        <v>3</v>
      </c>
      <c r="F32" s="39">
        <v>2</v>
      </c>
      <c r="G32" s="40"/>
      <c r="H32" s="41"/>
      <c r="I32" s="41"/>
      <c r="J32" s="41"/>
      <c r="K32" s="41">
        <v>2</v>
      </c>
      <c r="L32" s="41"/>
      <c r="M32" s="64"/>
      <c r="N32" s="49"/>
      <c r="O32" s="31" t="s">
        <v>55</v>
      </c>
    </row>
    <row r="33" spans="1:15">
      <c r="A33" s="32"/>
      <c r="B33" s="61"/>
      <c r="C33" s="37" t="s">
        <v>53</v>
      </c>
      <c r="D33" s="42" t="s">
        <v>56</v>
      </c>
      <c r="E33" s="38">
        <v>3</v>
      </c>
      <c r="F33" s="39">
        <v>2</v>
      </c>
      <c r="G33" s="65"/>
      <c r="H33" s="41"/>
      <c r="I33" s="41"/>
      <c r="J33" s="41"/>
      <c r="K33" s="41"/>
      <c r="L33" s="41">
        <v>2</v>
      </c>
      <c r="M33" s="55"/>
      <c r="N33" s="56"/>
      <c r="O33" s="31" t="s">
        <v>55</v>
      </c>
    </row>
    <row r="34" spans="1:15">
      <c r="A34" s="32"/>
      <c r="B34" s="43" t="s">
        <v>57</v>
      </c>
      <c r="C34" s="38" t="s">
        <v>20</v>
      </c>
      <c r="D34" s="66" t="s">
        <v>58</v>
      </c>
      <c r="E34" s="38">
        <v>3</v>
      </c>
      <c r="F34" s="67">
        <v>3</v>
      </c>
      <c r="G34" s="68">
        <v>3</v>
      </c>
      <c r="H34" s="69">
        <v>3</v>
      </c>
      <c r="I34" s="70"/>
      <c r="J34" s="70"/>
      <c r="K34" s="70"/>
      <c r="L34" s="70"/>
      <c r="M34" s="53">
        <f>SUM(G34:L37)</f>
        <v>10</v>
      </c>
      <c r="N34" s="71"/>
      <c r="O34" s="31" t="s">
        <v>55</v>
      </c>
    </row>
    <row r="35" spans="1:15">
      <c r="A35" s="32"/>
      <c r="B35" s="51"/>
      <c r="C35" s="38" t="s">
        <v>20</v>
      </c>
      <c r="D35" s="72"/>
      <c r="E35" s="38">
        <v>3</v>
      </c>
      <c r="F35" s="67">
        <v>3</v>
      </c>
      <c r="G35" s="68"/>
      <c r="H35" s="69"/>
      <c r="I35" s="41"/>
      <c r="J35" s="70"/>
      <c r="K35" s="70"/>
      <c r="L35" s="70"/>
      <c r="M35" s="73"/>
      <c r="N35" s="74"/>
      <c r="O35" s="31" t="s">
        <v>55</v>
      </c>
    </row>
    <row r="36" spans="1:15">
      <c r="A36" s="32"/>
      <c r="B36" s="51"/>
      <c r="C36" s="38" t="s">
        <v>50</v>
      </c>
      <c r="D36" s="75" t="s">
        <v>59</v>
      </c>
      <c r="E36" s="38">
        <v>3</v>
      </c>
      <c r="F36" s="67">
        <v>2</v>
      </c>
      <c r="G36" s="65"/>
      <c r="H36" s="41"/>
      <c r="I36" s="70">
        <v>2</v>
      </c>
      <c r="J36" s="70"/>
      <c r="K36" s="70"/>
      <c r="L36" s="70"/>
      <c r="M36" s="73"/>
      <c r="N36" s="74"/>
      <c r="O36" s="31" t="s">
        <v>55</v>
      </c>
    </row>
    <row r="37" spans="1:15">
      <c r="A37" s="32"/>
      <c r="B37" s="57"/>
      <c r="C37" s="38" t="s">
        <v>50</v>
      </c>
      <c r="D37" s="38" t="s">
        <v>60</v>
      </c>
      <c r="E37" s="38">
        <v>3</v>
      </c>
      <c r="F37" s="67">
        <v>2</v>
      </c>
      <c r="G37" s="76"/>
      <c r="H37" s="77"/>
      <c r="I37" s="41"/>
      <c r="J37" s="41">
        <v>2</v>
      </c>
      <c r="K37" s="77"/>
      <c r="L37" s="77"/>
      <c r="M37" s="78"/>
      <c r="N37" s="79"/>
      <c r="O37" s="31" t="str">
        <f>VLOOKUP(D37,[1]숨김!$B$3:$E$300,4,0)</f>
        <v>성취도 3단계</v>
      </c>
    </row>
    <row r="38" spans="1:15">
      <c r="A38" s="32"/>
      <c r="B38" s="80" t="s">
        <v>61</v>
      </c>
      <c r="C38" s="37" t="s">
        <v>20</v>
      </c>
      <c r="D38" s="72" t="s">
        <v>62</v>
      </c>
      <c r="E38" s="38">
        <v>4</v>
      </c>
      <c r="F38" s="67">
        <v>3</v>
      </c>
      <c r="G38" s="81">
        <v>3</v>
      </c>
      <c r="H38" s="82">
        <v>3</v>
      </c>
      <c r="I38" s="82"/>
      <c r="J38" s="82"/>
      <c r="K38" s="82"/>
      <c r="L38" s="82"/>
      <c r="M38" s="83">
        <f>G38+H38+G40+H40+L42</f>
        <v>13</v>
      </c>
      <c r="N38" s="71"/>
      <c r="O38" s="31" t="s">
        <v>23</v>
      </c>
    </row>
    <row r="39" spans="1:15">
      <c r="A39" s="32"/>
      <c r="B39" s="38" t="s">
        <v>63</v>
      </c>
      <c r="C39" s="37" t="s">
        <v>20</v>
      </c>
      <c r="D39" s="84"/>
      <c r="E39" s="38">
        <v>4</v>
      </c>
      <c r="F39" s="67">
        <v>3</v>
      </c>
      <c r="G39" s="85"/>
      <c r="H39" s="86"/>
      <c r="I39" s="70"/>
      <c r="J39" s="70"/>
      <c r="K39" s="70"/>
      <c r="L39" s="70"/>
      <c r="M39" s="87"/>
      <c r="N39" s="74"/>
      <c r="O39" s="31" t="s">
        <v>23</v>
      </c>
    </row>
    <row r="40" spans="1:15">
      <c r="A40" s="32"/>
      <c r="B40" s="88" t="s">
        <v>64</v>
      </c>
      <c r="C40" s="37" t="s">
        <v>20</v>
      </c>
      <c r="D40" s="89" t="s">
        <v>65</v>
      </c>
      <c r="E40" s="38">
        <v>3</v>
      </c>
      <c r="F40" s="67">
        <v>2</v>
      </c>
      <c r="G40" s="90">
        <v>2</v>
      </c>
      <c r="H40" s="75">
        <v>2</v>
      </c>
      <c r="I40" s="75"/>
      <c r="J40" s="75"/>
      <c r="K40" s="75"/>
      <c r="L40" s="75"/>
      <c r="M40" s="87"/>
      <c r="N40" s="74"/>
      <c r="O40" s="31" t="s">
        <v>66</v>
      </c>
    </row>
    <row r="41" spans="1:15">
      <c r="A41" s="32"/>
      <c r="B41" s="91"/>
      <c r="C41" s="37" t="s">
        <v>20</v>
      </c>
      <c r="D41" s="84"/>
      <c r="E41" s="37">
        <v>3</v>
      </c>
      <c r="F41" s="67">
        <v>2</v>
      </c>
      <c r="G41" s="92"/>
      <c r="H41" s="37"/>
      <c r="I41" s="75"/>
      <c r="J41" s="75"/>
      <c r="K41" s="75"/>
      <c r="L41" s="75"/>
      <c r="M41" s="87"/>
      <c r="N41" s="74"/>
      <c r="O41" s="31" t="s">
        <v>66</v>
      </c>
    </row>
    <row r="42" spans="1:15" ht="17.25" thickBot="1">
      <c r="A42" s="93"/>
      <c r="B42" s="94"/>
      <c r="C42" s="95" t="s">
        <v>53</v>
      </c>
      <c r="D42" s="95" t="s">
        <v>67</v>
      </c>
      <c r="E42" s="95">
        <v>3</v>
      </c>
      <c r="F42" s="96">
        <v>3</v>
      </c>
      <c r="G42" s="97"/>
      <c r="H42" s="98"/>
      <c r="I42" s="75"/>
      <c r="J42" s="75"/>
      <c r="K42" s="75"/>
      <c r="L42" s="75">
        <v>3</v>
      </c>
      <c r="M42" s="99"/>
      <c r="N42" s="100"/>
      <c r="O42" s="31" t="str">
        <f>VLOOKUP(D42,[1]숨김!$B$3:$E$300,4,0)</f>
        <v>이수/미이수</v>
      </c>
    </row>
    <row r="43" spans="1:15" ht="17.25" thickBot="1">
      <c r="A43" s="101" t="s">
        <v>68</v>
      </c>
      <c r="B43" s="102"/>
      <c r="C43" s="102"/>
      <c r="D43" s="103"/>
      <c r="E43" s="104"/>
      <c r="F43" s="105"/>
      <c r="G43" s="106">
        <f t="shared" ref="G43:L43" si="2">SUM(G5:G42)</f>
        <v>29</v>
      </c>
      <c r="H43" s="107">
        <f t="shared" si="2"/>
        <v>29</v>
      </c>
      <c r="I43" s="107">
        <f t="shared" si="2"/>
        <v>14</v>
      </c>
      <c r="J43" s="107">
        <f t="shared" si="2"/>
        <v>14</v>
      </c>
      <c r="K43" s="107">
        <f t="shared" si="2"/>
        <v>14</v>
      </c>
      <c r="L43" s="107">
        <f t="shared" si="2"/>
        <v>5</v>
      </c>
      <c r="M43" s="108">
        <f>G43+H43+I43+J43+K43+L43</f>
        <v>105</v>
      </c>
      <c r="N43" s="109"/>
      <c r="O43" s="110"/>
    </row>
    <row r="44" spans="1:15">
      <c r="A44" s="111" t="s">
        <v>69</v>
      </c>
      <c r="B44" s="112" t="s">
        <v>70</v>
      </c>
      <c r="C44" s="113" t="s">
        <v>20</v>
      </c>
      <c r="D44" s="114" t="s">
        <v>71</v>
      </c>
      <c r="E44" s="115">
        <f>VLOOKUP(D44,[1]숨김!$B$3:$E$300,3,0)</f>
        <v>4</v>
      </c>
      <c r="F44" s="116">
        <v>3</v>
      </c>
      <c r="G44" s="117"/>
      <c r="H44" s="115"/>
      <c r="I44" s="118">
        <v>3</v>
      </c>
      <c r="J44" s="119"/>
      <c r="K44" s="115"/>
      <c r="L44" s="115"/>
      <c r="M44" s="120">
        <f>I44+J46</f>
        <v>6</v>
      </c>
      <c r="N44" s="121"/>
      <c r="O44" s="31" t="str">
        <f>VLOOKUP(D44,[1]숨김!$B$3:$E$300,4,0)</f>
        <v>성취도 5단계+석차등급O</v>
      </c>
    </row>
    <row r="45" spans="1:15">
      <c r="A45" s="122"/>
      <c r="B45" s="123"/>
      <c r="C45" s="124" t="s">
        <v>20</v>
      </c>
      <c r="D45" s="38" t="s">
        <v>72</v>
      </c>
      <c r="E45" s="125">
        <f>VLOOKUP(D45,[1]숨김!$B$3:$E$300,3,0)</f>
        <v>4</v>
      </c>
      <c r="F45" s="126">
        <v>3</v>
      </c>
      <c r="G45" s="127"/>
      <c r="H45" s="128"/>
      <c r="I45" s="129"/>
      <c r="J45" s="130"/>
      <c r="K45" s="128"/>
      <c r="L45" s="128"/>
      <c r="M45" s="131"/>
      <c r="N45" s="132"/>
      <c r="O45" s="31" t="str">
        <f>VLOOKUP(D45,[1]숨김!$B$3:$E$300,4,0)</f>
        <v>성취도 5단계+석차등급O</v>
      </c>
    </row>
    <row r="46" spans="1:15">
      <c r="A46" s="133" t="s">
        <v>73</v>
      </c>
      <c r="B46" s="123"/>
      <c r="C46" s="124" t="str">
        <f>VLOOKUP(D46,[1]숨김!$B$3:$E$300,2,0)</f>
        <v>진로</v>
      </c>
      <c r="D46" s="38" t="s">
        <v>74</v>
      </c>
      <c r="E46" s="125">
        <f>VLOOKUP(D46,[1]숨김!$B$3:$E$300,3,0)</f>
        <v>4</v>
      </c>
      <c r="F46" s="126">
        <v>3</v>
      </c>
      <c r="G46" s="127"/>
      <c r="H46" s="128"/>
      <c r="I46" s="134"/>
      <c r="J46" s="135">
        <v>3</v>
      </c>
      <c r="K46" s="136"/>
      <c r="L46" s="128"/>
      <c r="M46" s="131"/>
      <c r="N46" s="132"/>
      <c r="O46" s="31" t="str">
        <f>VLOOKUP(D46,[1]숨김!$B$3:$E$300,4,0)</f>
        <v>성취도 5단계+석차등급O</v>
      </c>
    </row>
    <row r="47" spans="1:15">
      <c r="A47" s="133"/>
      <c r="B47" s="137"/>
      <c r="C47" s="138" t="str">
        <f>VLOOKUP(D47,[1]숨김!$B$3:$E$300,2,0)</f>
        <v>진로</v>
      </c>
      <c r="D47" s="38" t="s">
        <v>75</v>
      </c>
      <c r="E47" s="125">
        <f>VLOOKUP(D47,[1]숨김!$B$3:$E$300,3,0)</f>
        <v>4</v>
      </c>
      <c r="F47" s="126">
        <v>3</v>
      </c>
      <c r="G47" s="127"/>
      <c r="H47" s="139"/>
      <c r="I47" s="140"/>
      <c r="J47" s="141"/>
      <c r="K47" s="142"/>
      <c r="L47" s="130"/>
      <c r="M47" s="143"/>
      <c r="N47" s="144"/>
      <c r="O47" s="31" t="str">
        <f>VLOOKUP(D47,[1]숨김!$B$3:$E$300,4,0)</f>
        <v>성취도 5단계+석차등급O</v>
      </c>
    </row>
    <row r="48" spans="1:15">
      <c r="A48" s="145" t="s">
        <v>76</v>
      </c>
      <c r="B48" s="135" t="s">
        <v>77</v>
      </c>
      <c r="C48" s="146" t="s">
        <v>53</v>
      </c>
      <c r="D48" s="42" t="s">
        <v>78</v>
      </c>
      <c r="E48" s="147">
        <v>4</v>
      </c>
      <c r="F48" s="148">
        <v>3</v>
      </c>
      <c r="G48" s="149"/>
      <c r="H48" s="150"/>
      <c r="I48" s="151">
        <v>3</v>
      </c>
      <c r="J48" s="152"/>
      <c r="K48" s="153"/>
      <c r="L48" s="153"/>
      <c r="M48" s="154">
        <v>24</v>
      </c>
      <c r="N48" s="132"/>
      <c r="O48" s="31" t="s">
        <v>23</v>
      </c>
    </row>
    <row r="49" spans="1:15">
      <c r="A49" s="155"/>
      <c r="B49" s="75" t="s">
        <v>79</v>
      </c>
      <c r="C49" s="156" t="s">
        <v>80</v>
      </c>
      <c r="D49" s="42" t="s">
        <v>81</v>
      </c>
      <c r="E49" s="38">
        <v>4</v>
      </c>
      <c r="F49" s="39">
        <v>3</v>
      </c>
      <c r="G49" s="157"/>
      <c r="H49" s="158"/>
      <c r="I49" s="159">
        <v>3</v>
      </c>
      <c r="J49" s="160"/>
      <c r="K49" s="75"/>
      <c r="L49" s="75"/>
      <c r="M49" s="154"/>
      <c r="N49" s="132"/>
      <c r="O49" s="31" t="s">
        <v>23</v>
      </c>
    </row>
    <row r="50" spans="1:15">
      <c r="A50" s="155"/>
      <c r="B50" s="161" t="s">
        <v>82</v>
      </c>
      <c r="C50" s="156" t="s">
        <v>50</v>
      </c>
      <c r="D50" s="42" t="s">
        <v>83</v>
      </c>
      <c r="E50" s="38">
        <v>4</v>
      </c>
      <c r="F50" s="39">
        <v>3</v>
      </c>
      <c r="G50" s="157"/>
      <c r="H50" s="158"/>
      <c r="I50" s="159">
        <v>3</v>
      </c>
      <c r="J50" s="160"/>
      <c r="K50" s="75"/>
      <c r="L50" s="75"/>
      <c r="M50" s="154"/>
      <c r="N50" s="132"/>
      <c r="O50" s="31" t="s">
        <v>23</v>
      </c>
    </row>
    <row r="51" spans="1:15">
      <c r="A51" s="155"/>
      <c r="B51" s="162" t="s">
        <v>84</v>
      </c>
      <c r="C51" s="37" t="s">
        <v>20</v>
      </c>
      <c r="D51" s="38" t="s">
        <v>85</v>
      </c>
      <c r="E51" s="38">
        <v>4</v>
      </c>
      <c r="F51" s="67">
        <v>3</v>
      </c>
      <c r="G51" s="157"/>
      <c r="H51" s="158"/>
      <c r="I51" s="159">
        <v>3</v>
      </c>
      <c r="J51" s="160"/>
      <c r="K51" s="75"/>
      <c r="L51" s="75"/>
      <c r="M51" s="154"/>
      <c r="N51" s="132"/>
      <c r="O51" s="31" t="str">
        <f>VLOOKUP(D51,[1]숨김!$B$3:$E$300,4,0)</f>
        <v>성취도 5단계+석차등급O</v>
      </c>
    </row>
    <row r="52" spans="1:15">
      <c r="A52" s="155"/>
      <c r="B52" s="162"/>
      <c r="C52" s="37" t="s">
        <v>20</v>
      </c>
      <c r="D52" s="38" t="s">
        <v>86</v>
      </c>
      <c r="E52" s="38">
        <v>4</v>
      </c>
      <c r="F52" s="39">
        <v>3</v>
      </c>
      <c r="G52" s="157"/>
      <c r="H52" s="158"/>
      <c r="I52" s="159"/>
      <c r="J52" s="160"/>
      <c r="K52" s="75"/>
      <c r="L52" s="75"/>
      <c r="M52" s="154"/>
      <c r="N52" s="132"/>
      <c r="O52" s="31" t="str">
        <f>VLOOKUP(D52,[1]숨김!$B$3:$E$300,4,0)</f>
        <v>성취도 5단계+석차등급O</v>
      </c>
    </row>
    <row r="53" spans="1:15">
      <c r="A53" s="155"/>
      <c r="B53" s="162"/>
      <c r="C53" s="37" t="s">
        <v>20</v>
      </c>
      <c r="D53" s="38" t="s">
        <v>87</v>
      </c>
      <c r="E53" s="38">
        <v>4</v>
      </c>
      <c r="F53" s="39">
        <v>3</v>
      </c>
      <c r="G53" s="157"/>
      <c r="H53" s="158"/>
      <c r="I53" s="159"/>
      <c r="J53" s="160"/>
      <c r="K53" s="75"/>
      <c r="L53" s="75"/>
      <c r="M53" s="154"/>
      <c r="N53" s="132"/>
      <c r="O53" s="31" t="str">
        <f>VLOOKUP(D53,[1]숨김!$B$3:$E$300,4,0)</f>
        <v>성취도 5단계+석차등급O</v>
      </c>
    </row>
    <row r="54" spans="1:15">
      <c r="A54" s="155"/>
      <c r="B54" s="162"/>
      <c r="C54" s="37" t="s">
        <v>20</v>
      </c>
      <c r="D54" s="38" t="s">
        <v>88</v>
      </c>
      <c r="E54" s="38">
        <v>4</v>
      </c>
      <c r="F54" s="39">
        <v>3</v>
      </c>
      <c r="G54" s="157"/>
      <c r="H54" s="158"/>
      <c r="I54" s="159"/>
      <c r="J54" s="160"/>
      <c r="K54" s="75"/>
      <c r="L54" s="75"/>
      <c r="M54" s="154"/>
      <c r="N54" s="132"/>
      <c r="O54" s="31" t="str">
        <f>VLOOKUP(D54,[1]숨김!$B$3:$E$300,4,0)</f>
        <v>성취도 5단계+석차등급O</v>
      </c>
    </row>
    <row r="55" spans="1:15">
      <c r="A55" s="155"/>
      <c r="B55" s="163" t="s">
        <v>89</v>
      </c>
      <c r="C55" s="37" t="s">
        <v>20</v>
      </c>
      <c r="D55" s="38" t="s">
        <v>90</v>
      </c>
      <c r="E55" s="38">
        <v>4</v>
      </c>
      <c r="F55" s="39">
        <v>3</v>
      </c>
      <c r="G55" s="157"/>
      <c r="H55" s="158"/>
      <c r="I55" s="159"/>
      <c r="J55" s="160"/>
      <c r="K55" s="75"/>
      <c r="L55" s="75"/>
      <c r="M55" s="154"/>
      <c r="N55" s="132"/>
      <c r="O55" s="31" t="str">
        <f>VLOOKUP(D55,[1]숨김!$B$3:$E$300,4,0)</f>
        <v>성취도 5단계+석차등급O</v>
      </c>
    </row>
    <row r="56" spans="1:15">
      <c r="A56" s="155"/>
      <c r="B56" s="163"/>
      <c r="C56" s="37" t="s">
        <v>20</v>
      </c>
      <c r="D56" s="38" t="s">
        <v>91</v>
      </c>
      <c r="E56" s="38">
        <v>4</v>
      </c>
      <c r="F56" s="39">
        <v>3</v>
      </c>
      <c r="G56" s="157"/>
      <c r="H56" s="158"/>
      <c r="I56" s="159"/>
      <c r="J56" s="160"/>
      <c r="K56" s="75"/>
      <c r="L56" s="75"/>
      <c r="M56" s="154"/>
      <c r="N56" s="132"/>
      <c r="O56" s="31" t="str">
        <f>VLOOKUP(D56,[1]숨김!$B$3:$E$300,4,0)</f>
        <v>성취도 5단계+석차등급O</v>
      </c>
    </row>
    <row r="57" spans="1:15">
      <c r="A57" s="155"/>
      <c r="B57" s="163"/>
      <c r="C57" s="37" t="s">
        <v>20</v>
      </c>
      <c r="D57" s="38" t="s">
        <v>92</v>
      </c>
      <c r="E57" s="38">
        <v>4</v>
      </c>
      <c r="F57" s="39">
        <v>3</v>
      </c>
      <c r="G57" s="157"/>
      <c r="H57" s="158"/>
      <c r="I57" s="159"/>
      <c r="J57" s="164"/>
      <c r="K57" s="75"/>
      <c r="L57" s="75"/>
      <c r="M57" s="154"/>
      <c r="N57" s="132"/>
      <c r="O57" s="31" t="str">
        <f>VLOOKUP(D57,[1]숨김!$B$3:$E$300,4,0)</f>
        <v>성취도 5단계+석차등급O</v>
      </c>
    </row>
    <row r="58" spans="1:15">
      <c r="A58" s="155"/>
      <c r="B58" s="165"/>
      <c r="C58" s="37" t="s">
        <v>53</v>
      </c>
      <c r="D58" s="166" t="s">
        <v>93</v>
      </c>
      <c r="E58" s="80">
        <v>4</v>
      </c>
      <c r="F58" s="39">
        <v>3</v>
      </c>
      <c r="G58" s="157"/>
      <c r="H58" s="158"/>
      <c r="I58" s="159"/>
      <c r="J58" s="164">
        <v>3</v>
      </c>
      <c r="K58" s="167"/>
      <c r="L58" s="75"/>
      <c r="M58" s="154"/>
      <c r="N58" s="132"/>
      <c r="O58" s="31" t="s">
        <v>94</v>
      </c>
    </row>
    <row r="59" spans="1:15">
      <c r="A59" s="155"/>
      <c r="B59" s="156" t="s">
        <v>95</v>
      </c>
      <c r="C59" s="37" t="s">
        <v>53</v>
      </c>
      <c r="D59" s="42" t="s">
        <v>96</v>
      </c>
      <c r="E59" s="38">
        <v>4</v>
      </c>
      <c r="F59" s="67">
        <v>3</v>
      </c>
      <c r="G59" s="157"/>
      <c r="H59" s="158"/>
      <c r="I59" s="159"/>
      <c r="J59" s="168">
        <v>3</v>
      </c>
      <c r="K59" s="167"/>
      <c r="L59" s="75"/>
      <c r="M59" s="154"/>
      <c r="N59" s="132"/>
      <c r="O59" s="31" t="s">
        <v>23</v>
      </c>
    </row>
    <row r="60" spans="1:15">
      <c r="A60" s="155"/>
      <c r="B60" s="37" t="s">
        <v>97</v>
      </c>
      <c r="C60" s="37" t="s">
        <v>50</v>
      </c>
      <c r="D60" s="38" t="s">
        <v>98</v>
      </c>
      <c r="E60" s="38">
        <v>3</v>
      </c>
      <c r="F60" s="67">
        <v>3</v>
      </c>
      <c r="G60" s="157"/>
      <c r="H60" s="158"/>
      <c r="I60" s="169"/>
      <c r="J60" s="168">
        <v>3</v>
      </c>
      <c r="K60" s="167"/>
      <c r="L60" s="75"/>
      <c r="M60" s="154"/>
      <c r="N60" s="132"/>
      <c r="O60" s="31" t="s">
        <v>23</v>
      </c>
    </row>
    <row r="61" spans="1:15">
      <c r="A61" s="155"/>
      <c r="B61" s="166" t="s">
        <v>77</v>
      </c>
      <c r="C61" s="37" t="s">
        <v>53</v>
      </c>
      <c r="D61" s="42" t="s">
        <v>99</v>
      </c>
      <c r="E61" s="38">
        <v>4</v>
      </c>
      <c r="F61" s="39">
        <v>3</v>
      </c>
      <c r="G61" s="157"/>
      <c r="H61" s="158"/>
      <c r="I61" s="170"/>
      <c r="J61" s="159">
        <v>3</v>
      </c>
      <c r="K61" s="167"/>
      <c r="L61" s="75"/>
      <c r="M61" s="154"/>
      <c r="N61" s="132"/>
      <c r="O61" s="31" t="s">
        <v>23</v>
      </c>
    </row>
    <row r="62" spans="1:15">
      <c r="A62" s="155"/>
      <c r="B62" s="42" t="s">
        <v>100</v>
      </c>
      <c r="C62" s="156" t="s">
        <v>80</v>
      </c>
      <c r="D62" s="42" t="s">
        <v>101</v>
      </c>
      <c r="E62" s="38">
        <v>4</v>
      </c>
      <c r="F62" s="39">
        <v>3</v>
      </c>
      <c r="G62" s="157"/>
      <c r="H62" s="158"/>
      <c r="I62" s="171"/>
      <c r="J62" s="159"/>
      <c r="K62" s="167"/>
      <c r="L62" s="75"/>
      <c r="M62" s="154"/>
      <c r="N62" s="132"/>
      <c r="O62" s="31" t="s">
        <v>23</v>
      </c>
    </row>
    <row r="63" spans="1:15">
      <c r="A63" s="155"/>
      <c r="B63" s="166" t="s">
        <v>82</v>
      </c>
      <c r="C63" s="156" t="s">
        <v>53</v>
      </c>
      <c r="D63" s="42" t="s">
        <v>102</v>
      </c>
      <c r="E63" s="38">
        <v>4</v>
      </c>
      <c r="F63" s="39">
        <v>3</v>
      </c>
      <c r="G63" s="157"/>
      <c r="H63" s="158"/>
      <c r="I63" s="171"/>
      <c r="J63" s="159"/>
      <c r="K63" s="167"/>
      <c r="L63" s="75"/>
      <c r="M63" s="154"/>
      <c r="N63" s="132"/>
      <c r="O63" s="31" t="s">
        <v>23</v>
      </c>
    </row>
    <row r="64" spans="1:15">
      <c r="A64" s="155"/>
      <c r="B64" s="172" t="s">
        <v>103</v>
      </c>
      <c r="C64" s="37" t="s">
        <v>20</v>
      </c>
      <c r="D64" s="42" t="s">
        <v>104</v>
      </c>
      <c r="E64" s="38">
        <v>4</v>
      </c>
      <c r="F64" s="39">
        <v>3</v>
      </c>
      <c r="G64" s="157"/>
      <c r="H64" s="158"/>
      <c r="I64" s="171"/>
      <c r="J64" s="159"/>
      <c r="K64" s="167"/>
      <c r="L64" s="75"/>
      <c r="M64" s="154"/>
      <c r="N64" s="132"/>
      <c r="O64" s="31" t="s">
        <v>23</v>
      </c>
    </row>
    <row r="65" spans="1:15">
      <c r="A65" s="155"/>
      <c r="B65" s="173"/>
      <c r="C65" s="37" t="s">
        <v>50</v>
      </c>
      <c r="D65" s="42" t="s">
        <v>105</v>
      </c>
      <c r="E65" s="38">
        <v>4</v>
      </c>
      <c r="F65" s="39">
        <v>3</v>
      </c>
      <c r="G65" s="157"/>
      <c r="H65" s="158"/>
      <c r="I65" s="171"/>
      <c r="J65" s="159"/>
      <c r="K65" s="167"/>
      <c r="L65" s="75"/>
      <c r="M65" s="154"/>
      <c r="N65" s="132"/>
      <c r="O65" s="31" t="s">
        <v>23</v>
      </c>
    </row>
    <row r="66" spans="1:15">
      <c r="A66" s="155"/>
      <c r="B66" s="72"/>
      <c r="C66" s="37" t="s">
        <v>50</v>
      </c>
      <c r="D66" s="42" t="s">
        <v>106</v>
      </c>
      <c r="E66" s="38">
        <v>4</v>
      </c>
      <c r="F66" s="39">
        <v>3</v>
      </c>
      <c r="G66" s="157"/>
      <c r="H66" s="158"/>
      <c r="I66" s="171"/>
      <c r="J66" s="159"/>
      <c r="K66" s="167"/>
      <c r="L66" s="75"/>
      <c r="M66" s="154"/>
      <c r="N66" s="132"/>
      <c r="O66" s="31" t="s">
        <v>23</v>
      </c>
    </row>
    <row r="67" spans="1:15">
      <c r="A67" s="155"/>
      <c r="B67" s="173" t="s">
        <v>42</v>
      </c>
      <c r="C67" s="37" t="s">
        <v>50</v>
      </c>
      <c r="D67" s="42" t="s">
        <v>107</v>
      </c>
      <c r="E67" s="38">
        <v>4</v>
      </c>
      <c r="F67" s="39">
        <v>3</v>
      </c>
      <c r="G67" s="157"/>
      <c r="H67" s="158"/>
      <c r="I67" s="171"/>
      <c r="J67" s="159"/>
      <c r="K67" s="167"/>
      <c r="L67" s="75"/>
      <c r="M67" s="154"/>
      <c r="N67" s="132"/>
      <c r="O67" s="31" t="s">
        <v>23</v>
      </c>
    </row>
    <row r="68" spans="1:15">
      <c r="A68" s="155"/>
      <c r="B68" s="173"/>
      <c r="C68" s="37" t="s">
        <v>50</v>
      </c>
      <c r="D68" s="42" t="s">
        <v>108</v>
      </c>
      <c r="E68" s="38">
        <v>4</v>
      </c>
      <c r="F68" s="39">
        <v>3</v>
      </c>
      <c r="G68" s="157"/>
      <c r="H68" s="158"/>
      <c r="I68" s="171"/>
      <c r="J68" s="159"/>
      <c r="K68" s="167"/>
      <c r="L68" s="75"/>
      <c r="M68" s="154"/>
      <c r="N68" s="132"/>
      <c r="O68" s="31" t="s">
        <v>23</v>
      </c>
    </row>
    <row r="69" spans="1:15">
      <c r="A69" s="155"/>
      <c r="B69" s="173"/>
      <c r="C69" s="37" t="s">
        <v>50</v>
      </c>
      <c r="D69" s="42" t="s">
        <v>109</v>
      </c>
      <c r="E69" s="38">
        <v>4</v>
      </c>
      <c r="F69" s="39">
        <v>3</v>
      </c>
      <c r="G69" s="157"/>
      <c r="H69" s="158"/>
      <c r="I69" s="171"/>
      <c r="J69" s="159"/>
      <c r="K69" s="167"/>
      <c r="L69" s="75"/>
      <c r="M69" s="154"/>
      <c r="N69" s="132"/>
      <c r="O69" s="31" t="s">
        <v>23</v>
      </c>
    </row>
    <row r="70" spans="1:15">
      <c r="A70" s="174"/>
      <c r="B70" s="72"/>
      <c r="C70" s="37" t="s">
        <v>50</v>
      </c>
      <c r="D70" s="42" t="s">
        <v>110</v>
      </c>
      <c r="E70" s="38">
        <v>4</v>
      </c>
      <c r="F70" s="67">
        <v>3</v>
      </c>
      <c r="G70" s="157"/>
      <c r="H70" s="158"/>
      <c r="I70" s="171"/>
      <c r="J70" s="169"/>
      <c r="K70" s="167"/>
      <c r="L70" s="75"/>
      <c r="M70" s="175"/>
      <c r="N70" s="144"/>
      <c r="O70" s="31" t="s">
        <v>23</v>
      </c>
    </row>
    <row r="71" spans="1:15">
      <c r="A71" s="145" t="s">
        <v>111</v>
      </c>
      <c r="B71" s="176" t="s">
        <v>112</v>
      </c>
      <c r="C71" s="37" t="s">
        <v>50</v>
      </c>
      <c r="D71" s="38" t="s">
        <v>113</v>
      </c>
      <c r="E71" s="37">
        <v>4</v>
      </c>
      <c r="F71" s="39">
        <v>3</v>
      </c>
      <c r="G71" s="157"/>
      <c r="H71" s="38"/>
      <c r="I71" s="177"/>
      <c r="J71" s="169"/>
      <c r="K71" s="178">
        <v>3</v>
      </c>
      <c r="L71" s="178">
        <v>3</v>
      </c>
      <c r="M71" s="179">
        <v>36</v>
      </c>
      <c r="N71" s="180"/>
      <c r="O71" s="31" t="str">
        <f>VLOOKUP(D71,[1]숨김!$B$3:$E$300,4,0)</f>
        <v>성취도 5단계+석차등급O</v>
      </c>
    </row>
    <row r="72" spans="1:15">
      <c r="A72" s="181"/>
      <c r="B72" s="182"/>
      <c r="C72" s="37" t="s">
        <v>50</v>
      </c>
      <c r="D72" s="156" t="s">
        <v>114</v>
      </c>
      <c r="E72" s="37">
        <v>4</v>
      </c>
      <c r="F72" s="39">
        <v>3</v>
      </c>
      <c r="G72" s="157"/>
      <c r="H72" s="38"/>
      <c r="I72" s="169"/>
      <c r="J72" s="169"/>
      <c r="K72" s="159">
        <v>3</v>
      </c>
      <c r="L72" s="159">
        <v>3</v>
      </c>
      <c r="M72" s="183"/>
      <c r="N72" s="132"/>
      <c r="O72" s="31" t="str">
        <f>VLOOKUP(D72,[1]숨김!$B$3:$E$300,4,0)</f>
        <v>성취도 5단계+석차등급O</v>
      </c>
    </row>
    <row r="73" spans="1:15">
      <c r="A73" s="181"/>
      <c r="B73" s="184"/>
      <c r="C73" s="37" t="s">
        <v>53</v>
      </c>
      <c r="D73" s="38" t="s">
        <v>115</v>
      </c>
      <c r="E73" s="38">
        <v>4</v>
      </c>
      <c r="F73" s="39">
        <v>3</v>
      </c>
      <c r="G73" s="157"/>
      <c r="H73" s="38"/>
      <c r="I73" s="169"/>
      <c r="J73" s="169"/>
      <c r="K73" s="159">
        <v>3</v>
      </c>
      <c r="L73" s="159">
        <v>3</v>
      </c>
      <c r="M73" s="183"/>
      <c r="N73" s="132"/>
      <c r="O73" s="31" t="str">
        <f>VLOOKUP(D73,[1]숨김!$B$3:$E$300,4,0)</f>
        <v>성취도 5단계+석차등급O</v>
      </c>
    </row>
    <row r="74" spans="1:15">
      <c r="A74" s="181"/>
      <c r="B74" s="176" t="s">
        <v>79</v>
      </c>
      <c r="C74" s="37" t="s">
        <v>50</v>
      </c>
      <c r="D74" s="156" t="s">
        <v>116</v>
      </c>
      <c r="E74" s="38">
        <v>4</v>
      </c>
      <c r="F74" s="39">
        <v>3</v>
      </c>
      <c r="G74" s="157"/>
      <c r="H74" s="38"/>
      <c r="I74" s="38"/>
      <c r="J74" s="37"/>
      <c r="K74" s="159">
        <v>3</v>
      </c>
      <c r="L74" s="159">
        <v>3</v>
      </c>
      <c r="M74" s="183"/>
      <c r="N74" s="132"/>
      <c r="O74" s="31" t="s">
        <v>23</v>
      </c>
    </row>
    <row r="75" spans="1:15">
      <c r="A75" s="181"/>
      <c r="B75" s="182"/>
      <c r="C75" s="37" t="s">
        <v>50</v>
      </c>
      <c r="D75" s="156" t="s">
        <v>117</v>
      </c>
      <c r="E75" s="38">
        <v>4</v>
      </c>
      <c r="F75" s="39">
        <v>3</v>
      </c>
      <c r="G75" s="157"/>
      <c r="H75" s="38"/>
      <c r="I75" s="38"/>
      <c r="J75" s="37"/>
      <c r="K75" s="159"/>
      <c r="L75" s="159">
        <v>3</v>
      </c>
      <c r="M75" s="183"/>
      <c r="N75" s="132"/>
      <c r="O75" s="31" t="s">
        <v>23</v>
      </c>
    </row>
    <row r="76" spans="1:15">
      <c r="A76" s="181"/>
      <c r="B76" s="182"/>
      <c r="C76" s="37" t="s">
        <v>53</v>
      </c>
      <c r="D76" s="156" t="s">
        <v>118</v>
      </c>
      <c r="E76" s="38">
        <v>4</v>
      </c>
      <c r="F76" s="39">
        <v>3</v>
      </c>
      <c r="G76" s="157"/>
      <c r="H76" s="38"/>
      <c r="I76" s="38"/>
      <c r="J76" s="37"/>
      <c r="K76" s="159"/>
      <c r="L76" s="159">
        <v>3</v>
      </c>
      <c r="M76" s="183"/>
      <c r="N76" s="132"/>
      <c r="O76" s="31" t="s">
        <v>23</v>
      </c>
    </row>
    <row r="77" spans="1:15">
      <c r="A77" s="181"/>
      <c r="B77" s="182"/>
      <c r="C77" s="37" t="s">
        <v>53</v>
      </c>
      <c r="D77" s="42" t="s">
        <v>119</v>
      </c>
      <c r="E77" s="38">
        <v>4</v>
      </c>
      <c r="F77" s="39">
        <v>3</v>
      </c>
      <c r="G77" s="157"/>
      <c r="H77" s="38"/>
      <c r="I77" s="38"/>
      <c r="J77" s="37"/>
      <c r="K77" s="159"/>
      <c r="L77" s="159">
        <v>3</v>
      </c>
      <c r="M77" s="183"/>
      <c r="N77" s="132"/>
      <c r="O77" s="31" t="str">
        <f>VLOOKUP(D77,[1]숨김!$B$3:$E$300,4,0)</f>
        <v>성취도 5단계+석차등급O</v>
      </c>
    </row>
    <row r="78" spans="1:15">
      <c r="A78" s="181"/>
      <c r="B78" s="176" t="s">
        <v>120</v>
      </c>
      <c r="C78" s="37" t="s">
        <v>50</v>
      </c>
      <c r="D78" s="156" t="s">
        <v>121</v>
      </c>
      <c r="E78" s="38">
        <v>4</v>
      </c>
      <c r="F78" s="39">
        <v>3</v>
      </c>
      <c r="G78" s="157"/>
      <c r="H78" s="38"/>
      <c r="I78" s="37"/>
      <c r="J78" s="37"/>
      <c r="K78" s="159"/>
      <c r="L78" s="159">
        <v>3</v>
      </c>
      <c r="M78" s="183"/>
      <c r="N78" s="132"/>
      <c r="O78" s="31" t="s">
        <v>23</v>
      </c>
    </row>
    <row r="79" spans="1:15">
      <c r="A79" s="181"/>
      <c r="B79" s="182"/>
      <c r="C79" s="37" t="s">
        <v>50</v>
      </c>
      <c r="D79" s="37" t="s">
        <v>122</v>
      </c>
      <c r="E79" s="38">
        <v>4</v>
      </c>
      <c r="F79" s="39">
        <v>3</v>
      </c>
      <c r="G79" s="157"/>
      <c r="H79" s="38"/>
      <c r="I79" s="37"/>
      <c r="J79" s="37"/>
      <c r="K79" s="159"/>
      <c r="L79" s="159"/>
      <c r="M79" s="183"/>
      <c r="N79" s="132"/>
      <c r="O79" s="31" t="str">
        <f>VLOOKUP(D79,[1]숨김!$B$3:$E$300,4,0)</f>
        <v>성취도 5단계+석차등급O</v>
      </c>
    </row>
    <row r="80" spans="1:15">
      <c r="A80" s="181"/>
      <c r="B80" s="184"/>
      <c r="C80" s="37" t="s">
        <v>53</v>
      </c>
      <c r="D80" s="38" t="s">
        <v>123</v>
      </c>
      <c r="E80" s="38">
        <v>4</v>
      </c>
      <c r="F80" s="39">
        <v>3</v>
      </c>
      <c r="G80" s="157"/>
      <c r="H80" s="38"/>
      <c r="I80" s="38"/>
      <c r="J80" s="38"/>
      <c r="K80" s="159"/>
      <c r="L80" s="159"/>
      <c r="M80" s="183"/>
      <c r="N80" s="132"/>
      <c r="O80" s="31" t="str">
        <f>VLOOKUP(D80,[1]숨김!$B$3:$E$300,4,0)</f>
        <v>성취도 5단계+석차등급O</v>
      </c>
    </row>
    <row r="81" spans="1:15">
      <c r="A81" s="181"/>
      <c r="B81" s="162" t="s">
        <v>124</v>
      </c>
      <c r="C81" s="38" t="s">
        <v>50</v>
      </c>
      <c r="D81" s="38" t="s">
        <v>125</v>
      </c>
      <c r="E81" s="38">
        <v>4</v>
      </c>
      <c r="F81" s="39">
        <v>3</v>
      </c>
      <c r="G81" s="157"/>
      <c r="H81" s="38"/>
      <c r="I81" s="38"/>
      <c r="J81" s="38"/>
      <c r="K81" s="159"/>
      <c r="L81" s="159"/>
      <c r="M81" s="183"/>
      <c r="N81" s="132"/>
      <c r="O81" s="31" t="str">
        <f>VLOOKUP(D81,[1]숨김!$B$3:$E$300,4,0)</f>
        <v>성취도 5단계+석차등급O</v>
      </c>
    </row>
    <row r="82" spans="1:15">
      <c r="A82" s="181"/>
      <c r="B82" s="84"/>
      <c r="C82" s="38" t="s">
        <v>126</v>
      </c>
      <c r="D82" s="38" t="s">
        <v>127</v>
      </c>
      <c r="E82" s="38">
        <v>4</v>
      </c>
      <c r="F82" s="39">
        <v>3</v>
      </c>
      <c r="G82" s="157"/>
      <c r="H82" s="38"/>
      <c r="I82" s="38"/>
      <c r="J82" s="38"/>
      <c r="K82" s="159"/>
      <c r="L82" s="159"/>
      <c r="M82" s="183"/>
      <c r="N82" s="132"/>
      <c r="O82" s="31" t="str">
        <f>VLOOKUP(D82,[1]숨김!$B$3:$E$300,4,0)</f>
        <v>성취도 5단계+석차등급O</v>
      </c>
    </row>
    <row r="83" spans="1:15">
      <c r="A83" s="181"/>
      <c r="B83" s="84"/>
      <c r="C83" s="38" t="s">
        <v>50</v>
      </c>
      <c r="D83" s="38" t="s">
        <v>128</v>
      </c>
      <c r="E83" s="38">
        <v>4</v>
      </c>
      <c r="F83" s="39">
        <v>3</v>
      </c>
      <c r="G83" s="157"/>
      <c r="H83" s="38"/>
      <c r="I83" s="38"/>
      <c r="J83" s="38"/>
      <c r="K83" s="159"/>
      <c r="L83" s="159"/>
      <c r="M83" s="183"/>
      <c r="N83" s="132"/>
      <c r="O83" s="31" t="str">
        <f>VLOOKUP(D83,[1]숨김!$B$3:$E$300,4,0)</f>
        <v>성취도 5단계+석차등급O</v>
      </c>
    </row>
    <row r="84" spans="1:15">
      <c r="A84" s="181"/>
      <c r="B84" s="84"/>
      <c r="C84" s="38" t="s">
        <v>50</v>
      </c>
      <c r="D84" s="42" t="s">
        <v>129</v>
      </c>
      <c r="E84" s="38">
        <v>4</v>
      </c>
      <c r="F84" s="39">
        <v>3</v>
      </c>
      <c r="G84" s="157"/>
      <c r="H84" s="38"/>
      <c r="I84" s="38"/>
      <c r="J84" s="38"/>
      <c r="K84" s="159"/>
      <c r="L84" s="159"/>
      <c r="M84" s="183"/>
      <c r="N84" s="132"/>
      <c r="O84" s="31" t="str">
        <f>VLOOKUP(D84,[1]숨김!$B$3:$E$300,4,0)</f>
        <v>성취도 5단계+석차등급O</v>
      </c>
    </row>
    <row r="85" spans="1:15">
      <c r="A85" s="181"/>
      <c r="B85" s="84"/>
      <c r="C85" s="38" t="s">
        <v>50</v>
      </c>
      <c r="D85" s="38" t="s">
        <v>130</v>
      </c>
      <c r="E85" s="38">
        <v>4</v>
      </c>
      <c r="F85" s="39">
        <v>3</v>
      </c>
      <c r="G85" s="157"/>
      <c r="H85" s="38"/>
      <c r="I85" s="38"/>
      <c r="J85" s="38"/>
      <c r="K85" s="159"/>
      <c r="L85" s="159"/>
      <c r="M85" s="183"/>
      <c r="N85" s="132"/>
      <c r="O85" s="31" t="str">
        <f>VLOOKUP(D85,[1]숨김!$B$3:$E$300,4,0)</f>
        <v>성취도 5단계+석차등급O</v>
      </c>
    </row>
    <row r="86" spans="1:15">
      <c r="A86" s="181"/>
      <c r="B86" s="84"/>
      <c r="C86" s="38" t="s">
        <v>50</v>
      </c>
      <c r="D86" s="38" t="s">
        <v>131</v>
      </c>
      <c r="E86" s="38">
        <v>4</v>
      </c>
      <c r="F86" s="39">
        <v>3</v>
      </c>
      <c r="G86" s="157"/>
      <c r="H86" s="38"/>
      <c r="I86" s="38"/>
      <c r="J86" s="38"/>
      <c r="K86" s="159"/>
      <c r="L86" s="159"/>
      <c r="M86" s="183"/>
      <c r="N86" s="132"/>
      <c r="O86" s="31" t="str">
        <f>VLOOKUP(D86,[1]숨김!$B$3:$E$300,4,0)</f>
        <v>성취도 5단계+석차등급O</v>
      </c>
    </row>
    <row r="87" spans="1:15">
      <c r="A87" s="181"/>
      <c r="B87" s="84"/>
      <c r="C87" s="38" t="s">
        <v>53</v>
      </c>
      <c r="D87" s="38" t="s">
        <v>132</v>
      </c>
      <c r="E87" s="38">
        <v>4</v>
      </c>
      <c r="F87" s="39">
        <v>3</v>
      </c>
      <c r="G87" s="157"/>
      <c r="H87" s="38"/>
      <c r="I87" s="38"/>
      <c r="J87" s="38"/>
      <c r="K87" s="159"/>
      <c r="L87" s="159"/>
      <c r="M87" s="183"/>
      <c r="N87" s="132"/>
      <c r="O87" s="31" t="str">
        <f>VLOOKUP(D87,[1]숨김!$B$3:$E$300,4,0)</f>
        <v>성취도 5단계+석차등급X</v>
      </c>
    </row>
    <row r="88" spans="1:15">
      <c r="A88" s="181"/>
      <c r="B88" s="84"/>
      <c r="C88" s="38" t="s">
        <v>53</v>
      </c>
      <c r="D88" s="42" t="s">
        <v>133</v>
      </c>
      <c r="E88" s="38">
        <v>4</v>
      </c>
      <c r="F88" s="39">
        <v>3</v>
      </c>
      <c r="G88" s="157"/>
      <c r="H88" s="38"/>
      <c r="I88" s="38"/>
      <c r="J88" s="38"/>
      <c r="K88" s="159"/>
      <c r="L88" s="159"/>
      <c r="M88" s="183"/>
      <c r="N88" s="132"/>
      <c r="O88" s="31" t="s">
        <v>94</v>
      </c>
    </row>
    <row r="89" spans="1:15">
      <c r="A89" s="181"/>
      <c r="B89" s="84"/>
      <c r="C89" s="38" t="s">
        <v>53</v>
      </c>
      <c r="D89" s="42" t="s">
        <v>134</v>
      </c>
      <c r="E89" s="38">
        <v>4</v>
      </c>
      <c r="F89" s="39">
        <v>3</v>
      </c>
      <c r="G89" s="157"/>
      <c r="H89" s="38"/>
      <c r="I89" s="38"/>
      <c r="J89" s="38"/>
      <c r="K89" s="159"/>
      <c r="L89" s="159"/>
      <c r="M89" s="183"/>
      <c r="N89" s="132"/>
      <c r="O89" s="31" t="s">
        <v>94</v>
      </c>
    </row>
    <row r="90" spans="1:15">
      <c r="A90" s="181"/>
      <c r="B90" s="89" t="s">
        <v>42</v>
      </c>
      <c r="C90" s="37" t="s">
        <v>50</v>
      </c>
      <c r="D90" s="42" t="s">
        <v>135</v>
      </c>
      <c r="E90" s="38">
        <v>4</v>
      </c>
      <c r="F90" s="39">
        <v>3</v>
      </c>
      <c r="G90" s="157"/>
      <c r="H90" s="38"/>
      <c r="I90" s="38"/>
      <c r="J90" s="38"/>
      <c r="K90" s="159"/>
      <c r="L90" s="159"/>
      <c r="M90" s="183"/>
      <c r="N90" s="132"/>
      <c r="O90" s="31" t="str">
        <f>VLOOKUP(D90,[1]숨김!$B$3:$E$300,4,0)</f>
        <v>성취도 5단계+석차등급O</v>
      </c>
    </row>
    <row r="91" spans="1:15">
      <c r="A91" s="181"/>
      <c r="B91" s="84"/>
      <c r="C91" s="37" t="s">
        <v>50</v>
      </c>
      <c r="D91" s="38" t="s">
        <v>136</v>
      </c>
      <c r="E91" s="38">
        <v>4</v>
      </c>
      <c r="F91" s="39">
        <v>3</v>
      </c>
      <c r="G91" s="157"/>
      <c r="H91" s="38"/>
      <c r="I91" s="38"/>
      <c r="J91" s="38"/>
      <c r="K91" s="159"/>
      <c r="L91" s="159"/>
      <c r="M91" s="183"/>
      <c r="N91" s="132"/>
      <c r="O91" s="31" t="str">
        <f>VLOOKUP(D91,[1]숨김!$B$3:$E$300,4,0)</f>
        <v>성취도 5단계+석차등급O</v>
      </c>
    </row>
    <row r="92" spans="1:15">
      <c r="A92" s="181"/>
      <c r="B92" s="84"/>
      <c r="C92" s="37" t="s">
        <v>50</v>
      </c>
      <c r="D92" s="38" t="s">
        <v>137</v>
      </c>
      <c r="E92" s="38">
        <v>4</v>
      </c>
      <c r="F92" s="39">
        <v>3</v>
      </c>
      <c r="G92" s="157"/>
      <c r="H92" s="38"/>
      <c r="I92" s="38"/>
      <c r="J92" s="38"/>
      <c r="K92" s="159"/>
      <c r="L92" s="159"/>
      <c r="M92" s="183"/>
      <c r="N92" s="132"/>
      <c r="O92" s="31" t="str">
        <f>VLOOKUP(D92,[1]숨김!$B$3:$E$300,4,0)</f>
        <v>성취도 5단계+석차등급O</v>
      </c>
    </row>
    <row r="93" spans="1:15">
      <c r="A93" s="181"/>
      <c r="B93" s="84"/>
      <c r="C93" s="37" t="s">
        <v>50</v>
      </c>
      <c r="D93" s="185" t="s">
        <v>138</v>
      </c>
      <c r="E93" s="38">
        <v>4</v>
      </c>
      <c r="F93" s="39">
        <v>3</v>
      </c>
      <c r="G93" s="157"/>
      <c r="H93" s="38"/>
      <c r="I93" s="38"/>
      <c r="J93" s="38"/>
      <c r="K93" s="159"/>
      <c r="L93" s="159"/>
      <c r="M93" s="183"/>
      <c r="N93" s="132"/>
      <c r="O93" s="31" t="str">
        <f>VLOOKUP(D93,[1]숨김!$B$3:$E$300,4,0)</f>
        <v>성취도 5단계+석차등급O</v>
      </c>
    </row>
    <row r="94" spans="1:15">
      <c r="A94" s="181"/>
      <c r="B94" s="84"/>
      <c r="C94" s="37" t="s">
        <v>53</v>
      </c>
      <c r="D94" s="42" t="s">
        <v>139</v>
      </c>
      <c r="E94" s="38">
        <v>4</v>
      </c>
      <c r="F94" s="39">
        <v>3</v>
      </c>
      <c r="G94" s="157"/>
      <c r="H94" s="38"/>
      <c r="I94" s="38"/>
      <c r="J94" s="38"/>
      <c r="K94" s="159"/>
      <c r="L94" s="159"/>
      <c r="M94" s="183"/>
      <c r="N94" s="132"/>
      <c r="O94" s="31" t="s">
        <v>94</v>
      </c>
    </row>
    <row r="95" spans="1:15">
      <c r="A95" s="181"/>
      <c r="B95" s="84"/>
      <c r="C95" s="37" t="s">
        <v>53</v>
      </c>
      <c r="D95" s="38" t="s">
        <v>140</v>
      </c>
      <c r="E95" s="38">
        <v>4</v>
      </c>
      <c r="F95" s="39">
        <v>3</v>
      </c>
      <c r="G95" s="157"/>
      <c r="H95" s="38"/>
      <c r="I95" s="38"/>
      <c r="J95" s="38"/>
      <c r="K95" s="159"/>
      <c r="L95" s="159"/>
      <c r="M95" s="183"/>
      <c r="N95" s="132"/>
      <c r="O95" s="31" t="str">
        <f>VLOOKUP(D95,[1]숨김!$B$3:$E$300,4,0)</f>
        <v>성취도 5단계+석차등급X</v>
      </c>
    </row>
    <row r="96" spans="1:15">
      <c r="A96" s="181"/>
      <c r="B96" s="84"/>
      <c r="C96" s="37" t="s">
        <v>53</v>
      </c>
      <c r="D96" s="42" t="s">
        <v>141</v>
      </c>
      <c r="E96" s="38">
        <v>4</v>
      </c>
      <c r="F96" s="39">
        <v>3</v>
      </c>
      <c r="G96" s="157"/>
      <c r="H96" s="38"/>
      <c r="I96" s="38"/>
      <c r="J96" s="38"/>
      <c r="K96" s="159"/>
      <c r="L96" s="159"/>
      <c r="M96" s="183"/>
      <c r="N96" s="132"/>
      <c r="O96" s="31" t="s">
        <v>94</v>
      </c>
    </row>
    <row r="97" spans="1:15">
      <c r="A97" s="181"/>
      <c r="B97" s="42" t="s">
        <v>95</v>
      </c>
      <c r="C97" s="37" t="s">
        <v>50</v>
      </c>
      <c r="D97" s="42" t="s">
        <v>142</v>
      </c>
      <c r="E97" s="38">
        <v>4</v>
      </c>
      <c r="F97" s="39">
        <v>3</v>
      </c>
      <c r="G97" s="157"/>
      <c r="H97" s="38"/>
      <c r="I97" s="38"/>
      <c r="J97" s="38"/>
      <c r="K97" s="159"/>
      <c r="L97" s="159"/>
      <c r="M97" s="183"/>
      <c r="N97" s="132"/>
      <c r="O97" s="31" t="s">
        <v>23</v>
      </c>
    </row>
    <row r="98" spans="1:15">
      <c r="A98" s="186"/>
      <c r="B98" s="38" t="s">
        <v>61</v>
      </c>
      <c r="C98" s="37" t="s">
        <v>50</v>
      </c>
      <c r="D98" s="80" t="s">
        <v>143</v>
      </c>
      <c r="E98" s="38">
        <v>4</v>
      </c>
      <c r="F98" s="67">
        <v>3</v>
      </c>
      <c r="G98" s="157"/>
      <c r="H98" s="38"/>
      <c r="I98" s="38"/>
      <c r="J98" s="38"/>
      <c r="K98" s="169"/>
      <c r="L98" s="169"/>
      <c r="M98" s="187"/>
      <c r="N98" s="144"/>
      <c r="O98" s="31" t="str">
        <f>VLOOKUP(D98,[1]숨김!$B$3:$E$300,4,0)</f>
        <v>성취도 5단계+석차등급O</v>
      </c>
    </row>
    <row r="99" spans="1:15">
      <c r="A99" s="145" t="s">
        <v>144</v>
      </c>
      <c r="B99" s="176" t="s">
        <v>64</v>
      </c>
      <c r="C99" s="37" t="s">
        <v>50</v>
      </c>
      <c r="D99" s="38" t="s">
        <v>145</v>
      </c>
      <c r="E99" s="38">
        <v>3</v>
      </c>
      <c r="F99" s="67">
        <v>3</v>
      </c>
      <c r="G99" s="157"/>
      <c r="H99" s="38"/>
      <c r="I99" s="38"/>
      <c r="J99" s="38"/>
      <c r="K99" s="75">
        <v>3</v>
      </c>
      <c r="L99" s="38"/>
      <c r="M99" s="188">
        <v>3</v>
      </c>
      <c r="N99" s="189"/>
      <c r="O99" s="31" t="str">
        <f>VLOOKUP(D99,[1]숨김!$B$3:$E$300,4,0)</f>
        <v>이수/미이수</v>
      </c>
    </row>
    <row r="100" spans="1:15">
      <c r="A100" s="181"/>
      <c r="B100" s="182"/>
      <c r="C100" s="37" t="s">
        <v>50</v>
      </c>
      <c r="D100" s="38" t="s">
        <v>146</v>
      </c>
      <c r="E100" s="38">
        <v>3</v>
      </c>
      <c r="F100" s="39">
        <v>3</v>
      </c>
      <c r="G100" s="157"/>
      <c r="H100" s="38"/>
      <c r="I100" s="38"/>
      <c r="J100" s="38"/>
      <c r="K100" s="80"/>
      <c r="L100" s="38"/>
      <c r="M100" s="188"/>
      <c r="N100" s="189"/>
      <c r="O100" s="31" t="str">
        <f>VLOOKUP(D100,[1]숨김!$B$3:$E$300,4,0)</f>
        <v>이수/미이수</v>
      </c>
    </row>
    <row r="101" spans="1:15">
      <c r="A101" s="181"/>
      <c r="B101" s="182"/>
      <c r="C101" s="37" t="s">
        <v>50</v>
      </c>
      <c r="D101" s="42" t="s">
        <v>147</v>
      </c>
      <c r="E101" s="38">
        <v>3</v>
      </c>
      <c r="F101" s="39">
        <v>3</v>
      </c>
      <c r="G101" s="157"/>
      <c r="H101" s="38"/>
      <c r="I101" s="38"/>
      <c r="J101" s="38"/>
      <c r="K101" s="80"/>
      <c r="L101" s="38"/>
      <c r="M101" s="188"/>
      <c r="N101" s="189"/>
      <c r="O101" s="31" t="str">
        <f>VLOOKUP(D101,[1]숨김!$B$3:$E$300,4,0)</f>
        <v>이수/미이수</v>
      </c>
    </row>
    <row r="102" spans="1:15">
      <c r="A102" s="181"/>
      <c r="B102" s="182"/>
      <c r="C102" s="37" t="s">
        <v>50</v>
      </c>
      <c r="D102" s="42" t="s">
        <v>148</v>
      </c>
      <c r="E102" s="38">
        <v>3</v>
      </c>
      <c r="F102" s="39">
        <v>3</v>
      </c>
      <c r="G102" s="157"/>
      <c r="H102" s="38"/>
      <c r="I102" s="38"/>
      <c r="J102" s="38"/>
      <c r="K102" s="80"/>
      <c r="L102" s="38"/>
      <c r="M102" s="188"/>
      <c r="N102" s="189"/>
      <c r="O102" s="31" t="str">
        <f>VLOOKUP(D102,[1]숨김!$B$3:$E$300,4,0)</f>
        <v>이수/미이수</v>
      </c>
    </row>
    <row r="103" spans="1:15">
      <c r="A103" s="181"/>
      <c r="B103" s="182"/>
      <c r="C103" s="37" t="s">
        <v>50</v>
      </c>
      <c r="D103" s="42" t="s">
        <v>149</v>
      </c>
      <c r="E103" s="38">
        <v>3</v>
      </c>
      <c r="F103" s="39">
        <v>3</v>
      </c>
      <c r="G103" s="157"/>
      <c r="H103" s="38"/>
      <c r="I103" s="38"/>
      <c r="J103" s="38"/>
      <c r="K103" s="80"/>
      <c r="L103" s="177"/>
      <c r="M103" s="188"/>
      <c r="N103" s="189"/>
      <c r="O103" s="31" t="str">
        <f>VLOOKUP(D103,[1]숨김!$B$3:$E$300,4,0)</f>
        <v>이수/미이수</v>
      </c>
    </row>
    <row r="104" spans="1:15" ht="17.25" thickBot="1">
      <c r="A104" s="190"/>
      <c r="B104" s="191"/>
      <c r="C104" s="95" t="s">
        <v>53</v>
      </c>
      <c r="D104" s="192" t="s">
        <v>150</v>
      </c>
      <c r="E104" s="193">
        <v>3</v>
      </c>
      <c r="F104" s="194">
        <v>3</v>
      </c>
      <c r="G104" s="195"/>
      <c r="H104" s="193"/>
      <c r="I104" s="193"/>
      <c r="J104" s="193"/>
      <c r="K104" s="95"/>
      <c r="L104" s="193"/>
      <c r="M104" s="196"/>
      <c r="N104" s="197"/>
      <c r="O104" s="31" t="str">
        <f>VLOOKUP(D104,[1]숨김!$B$3:$E$300,4,0)</f>
        <v>이수/미이수</v>
      </c>
    </row>
    <row r="105" spans="1:15" ht="17.25" thickBot="1">
      <c r="A105" s="198" t="s">
        <v>151</v>
      </c>
      <c r="B105" s="5"/>
      <c r="C105" s="5"/>
      <c r="D105" s="199"/>
      <c r="E105" s="200"/>
      <c r="F105" s="201"/>
      <c r="G105" s="202">
        <f>SUM(G44:G104)</f>
        <v>0</v>
      </c>
      <c r="H105" s="200">
        <f>SUM(H44:H104)</f>
        <v>0</v>
      </c>
      <c r="I105" s="200">
        <v>15</v>
      </c>
      <c r="J105" s="200">
        <v>15</v>
      </c>
      <c r="K105" s="200">
        <v>15</v>
      </c>
      <c r="L105" s="200">
        <v>24</v>
      </c>
      <c r="M105" s="203">
        <f>SUM(G105:L105)</f>
        <v>69</v>
      </c>
      <c r="N105" s="204"/>
      <c r="O105" s="205"/>
    </row>
    <row r="106" spans="1:15">
      <c r="A106" s="206" t="s">
        <v>152</v>
      </c>
      <c r="B106" s="207"/>
      <c r="C106" s="207"/>
      <c r="D106" s="208"/>
      <c r="E106" s="209"/>
      <c r="F106" s="210"/>
      <c r="G106" s="211">
        <f t="shared" ref="G106:L106" si="3">SUM(G43,G105)</f>
        <v>29</v>
      </c>
      <c r="H106" s="209">
        <f t="shared" si="3"/>
        <v>29</v>
      </c>
      <c r="I106" s="209">
        <f t="shared" si="3"/>
        <v>29</v>
      </c>
      <c r="J106" s="209">
        <f t="shared" si="3"/>
        <v>29</v>
      </c>
      <c r="K106" s="209">
        <f t="shared" si="3"/>
        <v>29</v>
      </c>
      <c r="L106" s="209">
        <f t="shared" si="3"/>
        <v>29</v>
      </c>
      <c r="M106" s="212">
        <f>SUM(G106:L106)</f>
        <v>174</v>
      </c>
      <c r="N106" s="213"/>
      <c r="O106" s="214"/>
    </row>
    <row r="107" spans="1:15" ht="17.25" thickBot="1">
      <c r="A107" s="215" t="s">
        <v>153</v>
      </c>
      <c r="B107" s="216"/>
      <c r="C107" s="216"/>
      <c r="D107" s="217"/>
      <c r="E107" s="218"/>
      <c r="F107" s="219"/>
      <c r="G107" s="220">
        <v>3</v>
      </c>
      <c r="H107" s="218">
        <v>3</v>
      </c>
      <c r="I107" s="218">
        <v>3</v>
      </c>
      <c r="J107" s="218">
        <v>3</v>
      </c>
      <c r="K107" s="218">
        <v>3</v>
      </c>
      <c r="L107" s="218">
        <v>3</v>
      </c>
      <c r="M107" s="221">
        <f>SUM(G107:L107)</f>
        <v>18</v>
      </c>
      <c r="N107" s="222"/>
      <c r="O107" s="223"/>
    </row>
    <row r="108" spans="1:15" ht="17.25" thickBot="1">
      <c r="A108" s="224" t="s">
        <v>154</v>
      </c>
      <c r="B108" s="225"/>
      <c r="C108" s="225"/>
      <c r="D108" s="226"/>
      <c r="E108" s="227"/>
      <c r="F108" s="228"/>
      <c r="G108" s="229">
        <f t="shared" ref="G108:L108" si="4">SUM(G106:G107)</f>
        <v>32</v>
      </c>
      <c r="H108" s="227">
        <f t="shared" si="4"/>
        <v>32</v>
      </c>
      <c r="I108" s="227">
        <f t="shared" si="4"/>
        <v>32</v>
      </c>
      <c r="J108" s="227">
        <f t="shared" si="4"/>
        <v>32</v>
      </c>
      <c r="K108" s="227">
        <f t="shared" si="4"/>
        <v>32</v>
      </c>
      <c r="L108" s="227">
        <f t="shared" si="4"/>
        <v>32</v>
      </c>
      <c r="M108" s="230">
        <f>SUM(G108:L108)</f>
        <v>192</v>
      </c>
      <c r="N108" s="231"/>
      <c r="O108" s="232"/>
    </row>
  </sheetData>
  <mergeCells count="65">
    <mergeCell ref="A107:D107"/>
    <mergeCell ref="M107:N107"/>
    <mergeCell ref="A108:D108"/>
    <mergeCell ref="M108:N108"/>
    <mergeCell ref="A99:A104"/>
    <mergeCell ref="B99:B104"/>
    <mergeCell ref="M99:N104"/>
    <mergeCell ref="A105:D105"/>
    <mergeCell ref="M105:N105"/>
    <mergeCell ref="A106:D106"/>
    <mergeCell ref="M106:N106"/>
    <mergeCell ref="A71:A98"/>
    <mergeCell ref="B71:B73"/>
    <mergeCell ref="M71:N98"/>
    <mergeCell ref="B74:B77"/>
    <mergeCell ref="B78:B80"/>
    <mergeCell ref="B81:B89"/>
    <mergeCell ref="B90:B96"/>
    <mergeCell ref="A48:A70"/>
    <mergeCell ref="M48:N70"/>
    <mergeCell ref="B51:B54"/>
    <mergeCell ref="B55:B58"/>
    <mergeCell ref="B64:B66"/>
    <mergeCell ref="B67:B70"/>
    <mergeCell ref="A43:D43"/>
    <mergeCell ref="M43:N43"/>
    <mergeCell ref="A44:A45"/>
    <mergeCell ref="B44:B47"/>
    <mergeCell ref="M44:N47"/>
    <mergeCell ref="A46:A47"/>
    <mergeCell ref="B28:B33"/>
    <mergeCell ref="M28:N33"/>
    <mergeCell ref="B34:B37"/>
    <mergeCell ref="D34:D35"/>
    <mergeCell ref="M34:N37"/>
    <mergeCell ref="D38:D39"/>
    <mergeCell ref="M38:N42"/>
    <mergeCell ref="B40:B42"/>
    <mergeCell ref="D40:D41"/>
    <mergeCell ref="M15:M19"/>
    <mergeCell ref="B20:B23"/>
    <mergeCell ref="M20:N21"/>
    <mergeCell ref="M22:N23"/>
    <mergeCell ref="B24:B27"/>
    <mergeCell ref="M24:N27"/>
    <mergeCell ref="K3:L3"/>
    <mergeCell ref="M3:N3"/>
    <mergeCell ref="O3:O4"/>
    <mergeCell ref="A5:A42"/>
    <mergeCell ref="B5:B9"/>
    <mergeCell ref="M5:M9"/>
    <mergeCell ref="N5:N19"/>
    <mergeCell ref="B10:B14"/>
    <mergeCell ref="M10:M14"/>
    <mergeCell ref="B15:B19"/>
    <mergeCell ref="A1:O1"/>
    <mergeCell ref="A2:O2"/>
    <mergeCell ref="A3:A4"/>
    <mergeCell ref="B3:B4"/>
    <mergeCell ref="C3:C4"/>
    <mergeCell ref="D3:D4"/>
    <mergeCell ref="E3:E4"/>
    <mergeCell ref="F3:F4"/>
    <mergeCell ref="G3:H3"/>
    <mergeCell ref="I3:J3"/>
  </mergeCells>
  <phoneticPr fontId="4" type="noConversion"/>
  <dataValidations count="5">
    <dataValidation type="list" allowBlank="1" showErrorMessage="1" sqref="O5:O42 O44:O104" xr:uid="{5672990D-6772-4DF5-9910-0FBF3524669E}">
      <formula1>"성취도 5단계+석차등급O,성취도 5단계+석차등급X,성취도 3단계,이수/미이수"</formula1>
    </dataValidation>
    <dataValidation type="list" allowBlank="1" showErrorMessage="1" sqref="B5 B10 B15 B20 B24 B28 B34:B36 B44" xr:uid="{833186A5-B3B9-42A3-9E60-2376BDB2DA0B}">
      <formula1>"국어,수학,영어,사회,과학,체육,예술,기술·가정,정보,제2외국어,한문,교양"</formula1>
    </dataValidation>
    <dataValidation type="list" allowBlank="1" showErrorMessage="1" sqref="C20:C27 C5:C6 C10:C11 C15:C16 C44:C48" xr:uid="{CFB68F60-0540-4940-BA84-39ED32B347DB}">
      <formula1>"공통,일반,진로,융합,진로(전공),융합(전공)"</formula1>
    </dataValidation>
    <dataValidation type="list" allowBlank="1" showInputMessage="1" showErrorMessage="1" sqref="C7:C9 C12:C14 C17:C19 C28:C42 C83:C104 C49:C81" xr:uid="{3ABB79BC-8101-4D42-8BFE-BA5B2FE9A552}">
      <formula1>"공통, 일반, 진로, 융합"</formula1>
    </dataValidation>
    <dataValidation type="list" allowBlank="1" showInputMessage="1" showErrorMessage="1" sqref="B74:B78 B98:B99 B38:B40" xr:uid="{F9A823AA-9DAB-4C47-9A2C-948745457285}">
      <formula1>"국어, 수학, 영어, 사회, 과학, 체육, 예술,기술·가정, 정보, 제2외국어, 한문, 교양"</formula1>
    </dataValidation>
  </dataValidations>
  <pageMargins left="0.7" right="0.7" top="0.75" bottom="0.75" header="0.3" footer="0.3"/>
  <pageSetup paperSize="12" scale="53" fitToWidth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 입학생 3개년 교육과정(2학년)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류민제</dc:creator>
  <cp:lastModifiedBy>류민제</cp:lastModifiedBy>
  <dcterms:created xsi:type="dcterms:W3CDTF">2026-06-25T12:36:21Z</dcterms:created>
  <dcterms:modified xsi:type="dcterms:W3CDTF">2026-06-25T12:36:33Z</dcterms:modified>
</cp:coreProperties>
</file>